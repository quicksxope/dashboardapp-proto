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ta Kerja INA\2025\1. Monthly Report\"/>
    </mc:Choice>
  </mc:AlternateContent>
  <xr:revisionPtr revIDLastSave="0" documentId="13_ncr:1_{54DC9A03-76CE-4389-BE80-BB2E37683082}" xr6:coauthVersionLast="47" xr6:coauthVersionMax="47" xr10:uidLastSave="{00000000-0000-0000-0000-000000000000}"/>
  <bookViews>
    <workbookView xWindow="-108" yWindow="-108" windowWidth="23256" windowHeight="12456" tabRatio="776" xr2:uid="{00000000-000D-0000-FFFF-FFFF00000000}"/>
  </bookViews>
  <sheets>
    <sheet name="Sheet1" sheetId="1" r:id="rId1"/>
    <sheet name="Lembar1" sheetId="3" r:id="rId2"/>
  </sheets>
  <externalReferences>
    <externalReference r:id="rId3"/>
  </externalReferences>
  <definedNames>
    <definedName name="_xlnm._FilterDatabase" localSheetId="0" hidden="1">Sheet1!$A$1:$I$247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1" i="3"/>
  <c r="B2" i="3"/>
  <c r="B3" i="3"/>
  <c r="B4" i="3"/>
  <c r="B5" i="3"/>
  <c r="B6" i="3"/>
  <c r="B7" i="3"/>
  <c r="F7" i="3" s="1"/>
  <c r="B8" i="3"/>
  <c r="B10" i="3"/>
  <c r="F10" i="3" s="1"/>
  <c r="B11" i="3"/>
  <c r="F12" i="3"/>
  <c r="B13" i="3"/>
  <c r="B14" i="3"/>
  <c r="B15" i="3"/>
  <c r="F15" i="3" s="1"/>
  <c r="B16" i="3"/>
  <c r="F16" i="3" s="1"/>
  <c r="B17" i="3"/>
  <c r="F17" i="3" s="1"/>
  <c r="B18" i="3"/>
  <c r="F18" i="3" s="1"/>
  <c r="B20" i="3"/>
  <c r="B21" i="3"/>
  <c r="B22" i="3"/>
  <c r="B23" i="3"/>
  <c r="B24" i="3"/>
  <c r="F24" i="3" s="1"/>
  <c r="B25" i="3"/>
  <c r="F25" i="3" s="1"/>
  <c r="B26" i="3"/>
  <c r="F26" i="3" s="1"/>
  <c r="B27" i="3"/>
  <c r="F27" i="3" s="1"/>
  <c r="B28" i="3"/>
  <c r="B29" i="3"/>
  <c r="B1" i="3"/>
  <c r="E231" i="1"/>
  <c r="G75" i="1"/>
  <c r="G74" i="1"/>
  <c r="B9" i="3" s="1"/>
  <c r="E150" i="1"/>
  <c r="E147" i="1"/>
  <c r="F8" i="3" l="1"/>
  <c r="F6" i="3"/>
  <c r="F23" i="3"/>
  <c r="F14" i="3"/>
  <c r="F5" i="3"/>
  <c r="F9" i="3"/>
  <c r="F1" i="3"/>
  <c r="F22" i="3"/>
  <c r="F13" i="3"/>
  <c r="F4" i="3"/>
  <c r="F29" i="3"/>
  <c r="F21" i="3"/>
  <c r="F3" i="3"/>
  <c r="F28" i="3"/>
  <c r="F20" i="3"/>
  <c r="F11" i="3"/>
  <c r="F2" i="3"/>
  <c r="E61" i="1" l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D232" i="1" l="1"/>
  <c r="D231" i="1" l="1"/>
  <c r="E219" i="1" l="1"/>
  <c r="E215" i="1"/>
  <c r="E214" i="1"/>
  <c r="E140" i="1"/>
  <c r="E139" i="1"/>
  <c r="G140" i="1" s="1"/>
  <c r="G139" i="1" l="1"/>
  <c r="B19" i="3" s="1"/>
  <c r="F19" i="3" s="1"/>
</calcChain>
</file>

<file path=xl/sharedStrings.xml><?xml version="1.0" encoding="utf-8"?>
<sst xmlns="http://schemas.openxmlformats.org/spreadsheetml/2006/main" count="803" uniqueCount="129">
  <si>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</si>
  <si>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</si>
  <si>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</si>
  <si>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</si>
  <si>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</si>
  <si>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</si>
  <si>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</si>
  <si>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</si>
  <si>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</si>
  <si>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</si>
  <si>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</si>
  <si>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</si>
  <si>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</si>
  <si>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</si>
  <si>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</si>
  <si>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</si>
  <si>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</si>
  <si>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</si>
  <si>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</si>
  <si>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</si>
  <si>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</si>
  <si>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</si>
  <si>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</si>
  <si>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</si>
  <si>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</si>
  <si>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</si>
  <si>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</si>
  <si>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</si>
  <si>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</si>
  <si>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</si>
  <si>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</si>
  <si>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</si>
  <si>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</si>
  <si>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</si>
  <si>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</si>
  <si>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</si>
  <si>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</si>
  <si>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</si>
  <si>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</si>
  <si>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</si>
  <si>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</si>
  <si>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TENAGA AHLI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</si>
  <si>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</si>
  <si>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</si>
  <si>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</si>
  <si>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</si>
  <si>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</si>
  <si>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</si>
  <si>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</si>
  <si>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</si>
  <si>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</si>
  <si>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</si>
  <si>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</si>
  <si>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</si>
  <si>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</si>
  <si>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</si>
  <si>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</si>
  <si>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</si>
  <si>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</si>
  <si>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</si>
  <si>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</si>
  <si>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</si>
  <si>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</si>
  <si>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</si>
  <si>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</si>
  <si>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</si>
  <si>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</si>
  <si>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</si>
  <si>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</si>
  <si>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</si>
  <si>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</si>
  <si>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</si>
  <si>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</si>
  <si>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</si>
  <si>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</si>
  <si>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</si>
  <si>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</si>
  <si>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</si>
  <si>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</si>
  <si>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</si>
  <si>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</si>
  <si>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</si>
  <si>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</si>
  <si>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</si>
  <si>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</si>
  <si>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</si>
  <si>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</si>
  <si>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</si>
  <si>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</si>
  <si>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</si>
  <si>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</si>
  <si>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</si>
  <si>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</si>
  <si>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</si>
  <si>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</si>
  <si>
    <t>RAJAWALI KONSULTAN</t>
  </si>
  <si>
    <t>KONTRAK JASA PAJAK</t>
  </si>
  <si>
    <t>JASA PENGADAAN DAN INSTALASI GENERATOR SET (GENSET) DI SUMBAWA</t>
  </si>
  <si>
    <t>PEKERJAAN PUMP HOUSE AREA POND</t>
  </si>
  <si>
    <t>PAGAR PANEL 372.5M (LAHAN BARU)</t>
  </si>
  <si>
    <t>INNAQU &amp; RAJAWALI FIRM</t>
  </si>
  <si>
    <t>INNAQU&amp;MIPCON</t>
  </si>
  <si>
    <t>INNAQU&amp;ASR</t>
  </si>
  <si>
    <t>INNAQU&amp;ENVITEK</t>
  </si>
  <si>
    <t>INNAQU&amp;ABB</t>
  </si>
  <si>
    <t>INNAQU&amp;ATK</t>
  </si>
  <si>
    <t>INNAQU&amp;GEI</t>
  </si>
  <si>
    <t>INNAQU&amp;TBA</t>
  </si>
  <si>
    <t>INNAQU&amp;AVK</t>
  </si>
  <si>
    <t>INNAQU&amp;PDM</t>
  </si>
  <si>
    <t>INNAQU&amp;KSO PDS</t>
  </si>
  <si>
    <t>INNAQU&amp;LDS</t>
  </si>
  <si>
    <t>INNAQU&amp;EBS</t>
  </si>
  <si>
    <t>INNAQU&amp;LMATS</t>
  </si>
  <si>
    <t>INNAQU&amp;IMI</t>
  </si>
  <si>
    <t>INNAQU&amp;Ady Tulus</t>
  </si>
  <si>
    <t>INNAQU&amp;ESTER HENDRA</t>
  </si>
  <si>
    <t>INNAQU&amp;KAP BUDIARTHA</t>
  </si>
  <si>
    <t>INNAQU&amp;ADT</t>
  </si>
  <si>
    <t>INNAQU&amp;CV ALFI</t>
  </si>
  <si>
    <t>INNAQU&amp;DENI GUSTARIANA</t>
  </si>
  <si>
    <t>INNAQU&amp;REALIS</t>
  </si>
  <si>
    <t>INNAQU&amp;SCB</t>
  </si>
  <si>
    <t>INNAQU&amp;MAA</t>
  </si>
  <si>
    <t>INNAQU&amp;PARAHITA</t>
  </si>
  <si>
    <t>INNAQU&amp;TRADECORP</t>
  </si>
  <si>
    <t>INNAQU&amp;KKA ARYA</t>
  </si>
  <si>
    <t>INNAQU &amp;KSO LMA</t>
  </si>
  <si>
    <t>INNAQU&amp;ABA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</si>
</sst>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  <xf numFmtId="0" fontId="0" fillId="4" borderId="0" xfId="0" applyFill="1"/>
    <xf numFmtId="164" fontId="0" fillId="4" borderId="0" xfId="0" applyNumberFormat="1" applyFill="1"/>
    <xf numFmtId="3" fontId="0" fillId="4" borderId="0" xfId="0" applyNumberFormat="1" applyFill="1"/>
  </cellXfs>
  <cellStyles count="2">
    <cellStyle name="Ko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%20Kerja%20INA\2025\1.%20Monthly%20Report\data_kontrak_new%20(081225).xlsx" TargetMode="External"/><Relationship Id="rId1" Type="http://schemas.openxmlformats.org/officeDocument/2006/relationships/externalLinkPath" Target="data_kontrak_new%20(08122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1 (2)"/>
      <sheetName val="Data Kontrak"/>
      <sheetName val="DATA KONTRAK UPDATE"/>
    </sheetNames>
    <sheetDataSet>
      <sheetData sheetId="0"/>
      <sheetData sheetId="1"/>
      <sheetData sheetId="2"/>
      <sheetData sheetId="3">
        <row r="1">
          <cell r="J1" t="str">
            <v>Ket.</v>
          </cell>
          <cell r="N1" t="str">
            <v>Realisasi On  2023-2024</v>
          </cell>
          <cell r="O1" t="str">
            <v>Realisasi On  2025</v>
          </cell>
        </row>
        <row r="2">
          <cell r="J2" t="str">
            <v>INNAQU &amp; RAJAWALI FIRM</v>
          </cell>
          <cell r="N2">
            <v>36000000</v>
          </cell>
          <cell r="O2">
            <v>0</v>
          </cell>
        </row>
        <row r="3">
          <cell r="J3" t="str">
            <v>INNAQU&amp;MIPCON</v>
          </cell>
          <cell r="N3">
            <v>658096800</v>
          </cell>
          <cell r="O3">
            <v>0</v>
          </cell>
        </row>
        <row r="4">
          <cell r="J4" t="str">
            <v>INNAQU&amp;ASR</v>
          </cell>
          <cell r="N4">
            <v>3006046500.0000005</v>
          </cell>
          <cell r="O4">
            <v>0</v>
          </cell>
        </row>
        <row r="5">
          <cell r="J5" t="str">
            <v>INNAQU&amp;ASR</v>
          </cell>
          <cell r="N5">
            <v>0</v>
          </cell>
          <cell r="O5">
            <v>0</v>
          </cell>
        </row>
        <row r="6">
          <cell r="J6" t="str">
            <v>INNAQU&amp;ENVITEK</v>
          </cell>
          <cell r="N6">
            <v>1139250000</v>
          </cell>
          <cell r="O6">
            <v>0</v>
          </cell>
        </row>
        <row r="7">
          <cell r="J7" t="str">
            <v>INNAQU&amp;ENVITEK</v>
          </cell>
          <cell r="N7">
            <v>0</v>
          </cell>
          <cell r="O7">
            <v>0</v>
          </cell>
        </row>
        <row r="8">
          <cell r="J8" t="str">
            <v>INNAQU&amp;ABB</v>
          </cell>
          <cell r="N8">
            <v>0</v>
          </cell>
          <cell r="O8">
            <v>0</v>
          </cell>
        </row>
        <row r="9">
          <cell r="J9" t="str">
            <v>INNAQU&amp;ABB</v>
          </cell>
          <cell r="N9">
            <v>673475225</v>
          </cell>
          <cell r="O9">
            <v>3076027682</v>
          </cell>
        </row>
        <row r="10">
          <cell r="J10" t="str">
            <v>INNAQU&amp;ATK</v>
          </cell>
        </row>
        <row r="11">
          <cell r="J11" t="str">
            <v>INNAQU&amp;ATK</v>
          </cell>
        </row>
        <row r="12">
          <cell r="J12" t="str">
            <v>INNAQU&amp;ATK</v>
          </cell>
        </row>
        <row r="13">
          <cell r="J13" t="str">
            <v>INNAQU&amp;ATK</v>
          </cell>
        </row>
        <row r="14">
          <cell r="J14" t="str">
            <v>INNAQU&amp;ATK</v>
          </cell>
          <cell r="N14">
            <v>1282848184</v>
          </cell>
          <cell r="O14">
            <v>1977698135</v>
          </cell>
        </row>
        <row r="15">
          <cell r="J15" t="str">
            <v>INNAQU&amp;GEI</v>
          </cell>
        </row>
        <row r="16">
          <cell r="J16" t="str">
            <v>INNAQU&amp;GEI</v>
          </cell>
        </row>
        <row r="17">
          <cell r="J17" t="str">
            <v>INNAQU&amp;GEI</v>
          </cell>
          <cell r="N17">
            <v>223076700</v>
          </cell>
          <cell r="O17">
            <v>175182975</v>
          </cell>
        </row>
        <row r="18">
          <cell r="J18" t="str">
            <v>INNAQU&amp;TBA</v>
          </cell>
        </row>
        <row r="19">
          <cell r="J19" t="str">
            <v>INNAQU&amp;TBA</v>
          </cell>
        </row>
        <row r="20">
          <cell r="J20" t="str">
            <v>INNAQU&amp;TBA</v>
          </cell>
        </row>
        <row r="21">
          <cell r="J21" t="str">
            <v>INNAQU&amp;TBA</v>
          </cell>
          <cell r="N21">
            <v>6152132315</v>
          </cell>
          <cell r="O21">
            <v>900592183</v>
          </cell>
        </row>
        <row r="22">
          <cell r="J22" t="str">
            <v>INNAQU&amp;AVK</v>
          </cell>
        </row>
        <row r="23">
          <cell r="J23" t="str">
            <v>INNAQU&amp;AVK</v>
          </cell>
        </row>
        <row r="24">
          <cell r="J24" t="str">
            <v>INNAQU&amp;AVK</v>
          </cell>
          <cell r="N24">
            <v>2686200000</v>
          </cell>
          <cell r="O24">
            <v>5007987000</v>
          </cell>
        </row>
        <row r="25">
          <cell r="J25" t="str">
            <v>INNAQU&amp;PDM</v>
          </cell>
        </row>
        <row r="26">
          <cell r="J26" t="str">
            <v>INNAQU&amp;KSO PDS</v>
          </cell>
        </row>
        <row r="27">
          <cell r="J27" t="str">
            <v>INNAQU&amp;KSO PDS</v>
          </cell>
        </row>
        <row r="28">
          <cell r="J28" t="str">
            <v>INNAQU&amp;KSO PDS</v>
          </cell>
          <cell r="N28">
            <v>42089567738</v>
          </cell>
          <cell r="O28">
            <v>13653760550</v>
          </cell>
        </row>
        <row r="29">
          <cell r="J29" t="str">
            <v>INNAQU&amp;PDM</v>
          </cell>
        </row>
        <row r="30">
          <cell r="J30" t="str">
            <v>INNAQU&amp;PDM</v>
          </cell>
          <cell r="N30">
            <v>2186902527</v>
          </cell>
          <cell r="O30">
            <v>109345126</v>
          </cell>
        </row>
        <row r="31">
          <cell r="J31" t="str">
            <v>INNAQU&amp;KSO PDS</v>
          </cell>
        </row>
        <row r="32">
          <cell r="J32" t="str">
            <v>INNAQU&amp;LDS</v>
          </cell>
          <cell r="N32">
            <v>0</v>
          </cell>
          <cell r="O32">
            <v>0</v>
          </cell>
        </row>
        <row r="33">
          <cell r="J33" t="str">
            <v>INNAQU&amp;LDS</v>
          </cell>
          <cell r="O33">
            <v>6634485850</v>
          </cell>
        </row>
        <row r="34">
          <cell r="J34" t="str">
            <v>INNAQU&amp;EBS</v>
          </cell>
        </row>
        <row r="35">
          <cell r="J35" t="str">
            <v>INNAQU&amp;EBS</v>
          </cell>
        </row>
        <row r="36">
          <cell r="J36" t="str">
            <v>INNAQU&amp;EBS</v>
          </cell>
          <cell r="N36">
            <v>1285728153</v>
          </cell>
          <cell r="O36">
            <v>1679009670</v>
          </cell>
        </row>
        <row r="37">
          <cell r="J37" t="str">
            <v>INNAQU&amp;EBS</v>
          </cell>
        </row>
        <row r="38">
          <cell r="J38" t="str">
            <v>INNAQU&amp;LMATS</v>
          </cell>
          <cell r="N38">
            <v>16650000</v>
          </cell>
          <cell r="O38">
            <v>40515000</v>
          </cell>
        </row>
        <row r="39">
          <cell r="J39" t="str">
            <v>INNAQU&amp;IMI</v>
          </cell>
          <cell r="N39">
            <v>360000000</v>
          </cell>
        </row>
        <row r="40">
          <cell r="J40" t="str">
            <v>INNAQU&amp;Ady Tulus</v>
          </cell>
          <cell r="N40">
            <v>408000000</v>
          </cell>
        </row>
        <row r="41">
          <cell r="J41" t="str">
            <v>INNAQU&amp;ESTER HENDRA</v>
          </cell>
          <cell r="N41">
            <v>18333333</v>
          </cell>
        </row>
        <row r="42">
          <cell r="J42" t="str">
            <v>INNAQU&amp;KAP BUDIARTHA</v>
          </cell>
          <cell r="N42">
            <v>32500000</v>
          </cell>
          <cell r="O42">
            <v>32500000</v>
          </cell>
        </row>
        <row r="43">
          <cell r="J43" t="str">
            <v>INNAQU&amp;LDS</v>
          </cell>
          <cell r="N43">
            <v>553929516</v>
          </cell>
          <cell r="O43">
            <v>714187102</v>
          </cell>
        </row>
        <row r="44">
          <cell r="J44" t="str">
            <v>INNAQU&amp;ENVITEK</v>
          </cell>
          <cell r="N44">
            <v>604166063</v>
          </cell>
          <cell r="O44">
            <v>258928313</v>
          </cell>
        </row>
        <row r="45">
          <cell r="J45" t="str">
            <v>INNAQU&amp;ADT</v>
          </cell>
          <cell r="N45">
            <v>190643863</v>
          </cell>
          <cell r="O45">
            <v>7620862</v>
          </cell>
        </row>
        <row r="46">
          <cell r="J46" t="str">
            <v>INNAQU&amp;ADT</v>
          </cell>
        </row>
        <row r="47">
          <cell r="J47" t="str">
            <v>INNAQU&amp;GEI</v>
          </cell>
        </row>
        <row r="48">
          <cell r="J48" t="str">
            <v>INNAQU&amp;GEI</v>
          </cell>
        </row>
        <row r="49">
          <cell r="J49" t="str">
            <v>INNAQU&amp;GEI</v>
          </cell>
        </row>
        <row r="50">
          <cell r="J50" t="str">
            <v>INNAQU&amp;GEI</v>
          </cell>
          <cell r="N50">
            <v>159373578</v>
          </cell>
          <cell r="O50">
            <v>381460602</v>
          </cell>
        </row>
        <row r="51">
          <cell r="J51" t="str">
            <v>INNAQU&amp;LDS</v>
          </cell>
          <cell r="N51">
            <v>0</v>
          </cell>
          <cell r="O51">
            <v>467017214</v>
          </cell>
        </row>
        <row r="52">
          <cell r="J52" t="str">
            <v>INNAQU&amp;CV ALFI</v>
          </cell>
          <cell r="N52">
            <v>0</v>
          </cell>
          <cell r="O52">
            <v>185300000</v>
          </cell>
        </row>
        <row r="53">
          <cell r="J53" t="str">
            <v>INNAQU&amp;IMI</v>
          </cell>
          <cell r="N53">
            <v>0</v>
          </cell>
          <cell r="O53">
            <v>26737800</v>
          </cell>
        </row>
        <row r="54">
          <cell r="J54" t="str">
            <v>INNAQU&amp;ENVITEK</v>
          </cell>
          <cell r="N54">
            <v>0</v>
          </cell>
          <cell r="O54">
            <v>964368000</v>
          </cell>
        </row>
        <row r="55">
          <cell r="J55" t="str">
            <v>INNAQU&amp;ADT</v>
          </cell>
          <cell r="N55">
            <v>0</v>
          </cell>
          <cell r="O55">
            <v>0</v>
          </cell>
        </row>
        <row r="56">
          <cell r="J56" t="str">
            <v>INNAQU&amp;ADT</v>
          </cell>
          <cell r="N56">
            <v>0</v>
          </cell>
          <cell r="O56">
            <v>197060201</v>
          </cell>
        </row>
        <row r="57">
          <cell r="J57" t="str">
            <v>INNAQU&amp;DENI GUSTARIANA</v>
          </cell>
          <cell r="N57">
            <v>0</v>
          </cell>
          <cell r="O57">
            <v>344444444</v>
          </cell>
        </row>
        <row r="58">
          <cell r="J58" t="str">
            <v>INNAQU&amp;REALIS</v>
          </cell>
          <cell r="O58">
            <v>145543755</v>
          </cell>
        </row>
        <row r="59">
          <cell r="J59" t="str">
            <v>INNAQU&amp;SCB</v>
          </cell>
          <cell r="N59">
            <v>0</v>
          </cell>
          <cell r="O59">
            <v>2416173507</v>
          </cell>
        </row>
        <row r="60">
          <cell r="J60" t="str">
            <v>INNAQU&amp;EBS</v>
          </cell>
        </row>
        <row r="61">
          <cell r="J61" t="str">
            <v>INNAQU&amp;EBS</v>
          </cell>
        </row>
        <row r="62">
          <cell r="J62" t="str">
            <v>INNAQU&amp;EBS</v>
          </cell>
          <cell r="O62">
            <v>178710000</v>
          </cell>
        </row>
        <row r="63">
          <cell r="J63" t="str">
            <v>INNAQU&amp;LDS</v>
          </cell>
        </row>
        <row r="64">
          <cell r="J64" t="str">
            <v>INNAQU&amp;LDS</v>
          </cell>
          <cell r="N64">
            <v>0</v>
          </cell>
          <cell r="O64">
            <v>420072989</v>
          </cell>
        </row>
        <row r="65">
          <cell r="J65" t="str">
            <v>INNAQU&amp;ENVITEK</v>
          </cell>
          <cell r="O65">
            <v>612720000</v>
          </cell>
        </row>
        <row r="66">
          <cell r="J66" t="str">
            <v>INNAQU&amp;MAA</v>
          </cell>
          <cell r="O66">
            <v>296691935</v>
          </cell>
        </row>
        <row r="67">
          <cell r="J67" t="str">
            <v>INNAQU&amp;MAA</v>
          </cell>
        </row>
        <row r="68">
          <cell r="J68" t="str">
            <v>INNAQU&amp;MAA</v>
          </cell>
          <cell r="O68">
            <v>1683179940</v>
          </cell>
        </row>
        <row r="69">
          <cell r="J69" t="str">
            <v>INNAQU&amp;MAA</v>
          </cell>
          <cell r="O69">
            <v>194572740</v>
          </cell>
        </row>
        <row r="70">
          <cell r="J70" t="str">
            <v>INNAQU&amp;PARAHITA</v>
          </cell>
          <cell r="O70">
            <v>14239617744</v>
          </cell>
        </row>
        <row r="71">
          <cell r="J71" t="str">
            <v>INNAQU&amp;TRADECORP</v>
          </cell>
        </row>
        <row r="72">
          <cell r="J72" t="str">
            <v>INNAQU&amp;TRADECORP</v>
          </cell>
          <cell r="O72">
            <v>1455250420</v>
          </cell>
        </row>
        <row r="73">
          <cell r="J73" t="str">
            <v>INNAQU&amp;KKA ARYA</v>
          </cell>
          <cell r="O73">
            <v>11100000.000000002</v>
          </cell>
        </row>
        <row r="74">
          <cell r="J74" t="str">
            <v>INNAQU&amp;MAA</v>
          </cell>
          <cell r="O74">
            <v>1694581500</v>
          </cell>
        </row>
        <row r="75">
          <cell r="J75" t="str">
            <v>INNAQU&amp;ADT</v>
          </cell>
        </row>
        <row r="76">
          <cell r="J76" t="str">
            <v>INNAQU&amp;ADT</v>
          </cell>
          <cell r="O76">
            <v>1396621095</v>
          </cell>
        </row>
        <row r="77">
          <cell r="J77" t="str">
            <v>INNAQU&amp;EBS</v>
          </cell>
          <cell r="O77">
            <v>1454747637</v>
          </cell>
        </row>
        <row r="78">
          <cell r="J78" t="str">
            <v>INNAQU&amp;EBS</v>
          </cell>
          <cell r="O78">
            <v>89287029</v>
          </cell>
        </row>
        <row r="79">
          <cell r="J79" t="str">
            <v>INNAQU&amp;EBS</v>
          </cell>
          <cell r="O79">
            <v>274525953</v>
          </cell>
        </row>
        <row r="80">
          <cell r="J80" t="str">
            <v>INNAQU&amp;EBS</v>
          </cell>
          <cell r="O80">
            <v>355277186</v>
          </cell>
        </row>
        <row r="81">
          <cell r="J81" t="str">
            <v>INNAQU&amp;ADT</v>
          </cell>
          <cell r="O81">
            <v>1226005590</v>
          </cell>
        </row>
        <row r="82">
          <cell r="J82" t="str">
            <v>INNAQU &amp;KSO LMA</v>
          </cell>
          <cell r="O82">
            <v>23906583839</v>
          </cell>
        </row>
        <row r="83">
          <cell r="J83" t="str">
            <v>INNAQU&amp;ABA</v>
          </cell>
          <cell r="O83">
            <v>1461650590</v>
          </cell>
        </row>
        <row r="84">
          <cell r="J84" t="str">
            <v>INNAQU&amp;KAP BUDIARTHA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47"/>
  <sheetViews>
    <sheetView tabSelected="1" zoomScale="80" zoomScaleNormal="80" workbookViewId="0">
      <pane xSplit="1" ySplit="1" topLeftCell="C2" activePane="bottomRight" state="frozen"/>
      <selection pane="topRight" activeCell="B1" sqref="B1"/>
      <selection pane="bottomLeft" activeCell="A3" sqref="A3"/>
      <selection pane="bottomRight" activeCell="C157" sqref="C157"/>
    </sheetView>
  </sheetViews>
  <sheetFormatPr defaultColWidth="8.77734375" defaultRowHeight="14.4" x14ac:dyDescent="0.3"/>
  <cols>
    <col min="1" max="1" width="49.109375" customWidth="1"/>
    <col min="2" max="2" width="80.88671875" customWidth="1"/>
    <col min="3" max="3" width="28.6640625" customWidth="1"/>
    <col min="4" max="4" width="27.21875" customWidth="1"/>
    <col min="5" max="5" width="23.33203125" customWidth="1"/>
    <col min="6" max="6" width="9" customWidth="1"/>
    <col min="7" max="7" width="32.6640625" customWidth="1"/>
    <col min="8" max="8" width="11.77734375" customWidth="1"/>
    <col min="9" max="9" width="23" customWidth="1"/>
    <col min="14" max="14" width="14.33203125" bestFit="1" customWidth="1"/>
    <col min="15" max="15" width="15.77734375" bestFit="1" customWidth="1"/>
  </cols>
  <sheetData>
    <row r="1" spans="1:9" x14ac:dyDescent="0.3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hidden="1" x14ac:dyDescent="0.3">
      <c r="A2" s="7" t="s">
        <v>95</v>
      </c>
      <c r="B2" t="s">
        <v>96</v>
      </c>
      <c r="C2" s="2">
        <v>45834</v>
      </c>
      <c r="D2" s="2">
        <v>45469</v>
      </c>
      <c r="E2" s="3">
        <v>36000000</v>
      </c>
      <c r="F2">
        <v>1</v>
      </c>
      <c r="G2" s="3">
        <v>36000000</v>
      </c>
      <c r="H2" t="s">
        <v>16</v>
      </c>
      <c r="I2" s="2">
        <v>45469</v>
      </c>
    </row>
    <row r="3" spans="1:9" hidden="1" x14ac:dyDescent="0.3">
      <c r="A3" s="7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1</v>
      </c>
      <c r="G3" s="3">
        <v>131619360</v>
      </c>
      <c r="H3" t="s">
        <v>16</v>
      </c>
      <c r="I3" s="2">
        <v>45085</v>
      </c>
    </row>
    <row r="4" spans="1:9" hidden="1" x14ac:dyDescent="0.3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2</v>
      </c>
      <c r="G4" s="3">
        <v>460667760</v>
      </c>
      <c r="H4" t="s">
        <v>16</v>
      </c>
      <c r="I4" s="2">
        <v>45131</v>
      </c>
    </row>
    <row r="5" spans="1:9" hidden="1" x14ac:dyDescent="0.3">
      <c r="A5" t="s">
        <v>26</v>
      </c>
      <c r="B5" t="s">
        <v>27</v>
      </c>
      <c r="C5" s="2">
        <v>45075</v>
      </c>
      <c r="D5" s="2">
        <v>45135</v>
      </c>
      <c r="E5" s="3">
        <v>658096800</v>
      </c>
      <c r="F5">
        <v>3</v>
      </c>
      <c r="G5" s="3">
        <v>65809680</v>
      </c>
      <c r="H5" t="s">
        <v>16</v>
      </c>
      <c r="I5" s="2">
        <v>45149</v>
      </c>
    </row>
    <row r="6" spans="1:9" hidden="1" x14ac:dyDescent="0.3">
      <c r="A6" s="7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1</v>
      </c>
      <c r="G6" s="3">
        <v>62487450</v>
      </c>
      <c r="H6" t="s">
        <v>16</v>
      </c>
      <c r="I6" s="2">
        <v>45159</v>
      </c>
    </row>
    <row r="7" spans="1:9" hidden="1" x14ac:dyDescent="0.3">
      <c r="A7" t="s">
        <v>28</v>
      </c>
      <c r="B7" t="s">
        <v>29</v>
      </c>
      <c r="C7" s="2">
        <v>45145</v>
      </c>
      <c r="D7" s="2">
        <v>45176</v>
      </c>
      <c r="E7" s="3">
        <v>208291500</v>
      </c>
      <c r="F7">
        <v>2</v>
      </c>
      <c r="G7" s="3">
        <v>145804050</v>
      </c>
      <c r="H7" t="s">
        <v>16</v>
      </c>
      <c r="I7" s="2">
        <v>45163</v>
      </c>
    </row>
    <row r="8" spans="1:9" hidden="1" x14ac:dyDescent="0.3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1</v>
      </c>
      <c r="G8" s="3">
        <v>423354000</v>
      </c>
      <c r="H8" t="s">
        <v>16</v>
      </c>
      <c r="I8" s="2">
        <v>45219</v>
      </c>
    </row>
    <row r="9" spans="1:9" hidden="1" x14ac:dyDescent="0.3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2</v>
      </c>
      <c r="G9" s="3">
        <v>1058385000</v>
      </c>
      <c r="H9" t="s">
        <v>16</v>
      </c>
      <c r="I9" s="2">
        <v>45328</v>
      </c>
    </row>
    <row r="10" spans="1:9" hidden="1" x14ac:dyDescent="0.3">
      <c r="A10" t="s">
        <v>28</v>
      </c>
      <c r="B10" t="s">
        <v>18</v>
      </c>
      <c r="C10" s="2">
        <v>45145</v>
      </c>
      <c r="D10" s="2">
        <v>45206</v>
      </c>
      <c r="E10" s="3">
        <v>2116770000</v>
      </c>
      <c r="F10">
        <v>3</v>
      </c>
      <c r="G10" s="3">
        <v>635031000</v>
      </c>
      <c r="H10" t="s">
        <v>16</v>
      </c>
      <c r="I10" s="2">
        <v>45436</v>
      </c>
    </row>
    <row r="11" spans="1:9" hidden="1" x14ac:dyDescent="0.3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1</v>
      </c>
      <c r="G11" s="3">
        <v>136197000</v>
      </c>
      <c r="H11" t="s">
        <v>16</v>
      </c>
      <c r="I11" s="2">
        <v>45124</v>
      </c>
    </row>
    <row r="12" spans="1:9" hidden="1" x14ac:dyDescent="0.3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2</v>
      </c>
      <c r="G12" s="3">
        <v>340492500</v>
      </c>
      <c r="H12" t="s">
        <v>16</v>
      </c>
      <c r="I12" s="2">
        <v>45194</v>
      </c>
    </row>
    <row r="13" spans="1:9" hidden="1" x14ac:dyDescent="0.3">
      <c r="A13" t="s">
        <v>28</v>
      </c>
      <c r="B13" t="s">
        <v>30</v>
      </c>
      <c r="C13" s="2">
        <v>45145</v>
      </c>
      <c r="D13" s="2">
        <v>45267</v>
      </c>
      <c r="E13" s="3">
        <v>680985000</v>
      </c>
      <c r="F13">
        <v>3</v>
      </c>
      <c r="G13" s="3">
        <v>204295500</v>
      </c>
      <c r="H13" t="s">
        <v>16</v>
      </c>
      <c r="I13" s="2">
        <v>45222</v>
      </c>
    </row>
    <row r="14" spans="1:9" hidden="1" x14ac:dyDescent="0.3">
      <c r="A14" s="7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1</v>
      </c>
      <c r="G14" s="3">
        <v>227850000</v>
      </c>
      <c r="H14" t="s">
        <v>16</v>
      </c>
      <c r="I14" s="2">
        <v>45162</v>
      </c>
    </row>
    <row r="15" spans="1:9" hidden="1" x14ac:dyDescent="0.3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2</v>
      </c>
      <c r="G15" s="3">
        <v>341775000</v>
      </c>
      <c r="H15" t="s">
        <v>16</v>
      </c>
      <c r="I15" s="2">
        <v>45187</v>
      </c>
    </row>
    <row r="16" spans="1:9" hidden="1" x14ac:dyDescent="0.3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3</v>
      </c>
      <c r="G16" s="3">
        <v>341775000</v>
      </c>
      <c r="H16" t="s">
        <v>16</v>
      </c>
      <c r="I16" s="2">
        <v>45498</v>
      </c>
    </row>
    <row r="17" spans="1:9" hidden="1" x14ac:dyDescent="0.3">
      <c r="A17" t="s">
        <v>10</v>
      </c>
      <c r="B17" t="s">
        <v>31</v>
      </c>
      <c r="C17" s="2">
        <v>45160</v>
      </c>
      <c r="D17" s="2">
        <v>45373</v>
      </c>
      <c r="E17" s="3">
        <v>1139250000</v>
      </c>
      <c r="F17">
        <v>4</v>
      </c>
      <c r="G17" s="3">
        <v>227850000</v>
      </c>
      <c r="H17" t="s">
        <v>16</v>
      </c>
      <c r="I17" s="2">
        <v>45558</v>
      </c>
    </row>
    <row r="18" spans="1:9" hidden="1" x14ac:dyDescent="0.3">
      <c r="A18" s="7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1</v>
      </c>
      <c r="G18" s="3">
        <v>21373328</v>
      </c>
      <c r="H18" t="s">
        <v>16</v>
      </c>
      <c r="I18" s="2">
        <v>45253</v>
      </c>
    </row>
    <row r="19" spans="1:9" hidden="1" x14ac:dyDescent="0.3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2</v>
      </c>
      <c r="G19" s="3">
        <v>21458696</v>
      </c>
      <c r="H19" t="s">
        <v>16</v>
      </c>
      <c r="I19" s="2">
        <v>45274</v>
      </c>
    </row>
    <row r="20" spans="1:9" hidden="1" x14ac:dyDescent="0.3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3</v>
      </c>
      <c r="G20" s="3">
        <v>22515586</v>
      </c>
      <c r="H20" t="s">
        <v>16</v>
      </c>
      <c r="I20" s="2">
        <v>45307</v>
      </c>
    </row>
    <row r="21" spans="1:9" hidden="1" x14ac:dyDescent="0.3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4</v>
      </c>
      <c r="G21" s="3">
        <v>23555856</v>
      </c>
      <c r="H21" t="s">
        <v>16</v>
      </c>
      <c r="I21" s="2">
        <v>45342</v>
      </c>
    </row>
    <row r="22" spans="1:9" hidden="1" x14ac:dyDescent="0.3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5</v>
      </c>
      <c r="G22" s="3">
        <v>25942356</v>
      </c>
      <c r="H22" t="s">
        <v>16</v>
      </c>
      <c r="I22" s="2">
        <v>45384</v>
      </c>
    </row>
    <row r="23" spans="1:9" hidden="1" x14ac:dyDescent="0.3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6</v>
      </c>
      <c r="G23" s="3">
        <v>34626609</v>
      </c>
      <c r="H23" t="s">
        <v>16</v>
      </c>
      <c r="I23" s="2">
        <v>45520</v>
      </c>
    </row>
    <row r="24" spans="1:9" hidden="1" x14ac:dyDescent="0.3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7</v>
      </c>
      <c r="G24" s="3">
        <v>33612408</v>
      </c>
      <c r="H24" t="s">
        <v>16</v>
      </c>
      <c r="I24" s="2">
        <v>45420</v>
      </c>
    </row>
    <row r="25" spans="1:9" hidden="1" x14ac:dyDescent="0.3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8</v>
      </c>
      <c r="G25" s="3">
        <v>34209680</v>
      </c>
      <c r="H25" t="s">
        <v>16</v>
      </c>
      <c r="I25" s="2">
        <v>45459</v>
      </c>
    </row>
    <row r="26" spans="1:9" hidden="1" x14ac:dyDescent="0.3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9</v>
      </c>
      <c r="G26" s="3">
        <v>48061163</v>
      </c>
      <c r="H26" t="s">
        <v>16</v>
      </c>
      <c r="I26" s="2">
        <v>45465</v>
      </c>
    </row>
    <row r="27" spans="1:9" hidden="1" x14ac:dyDescent="0.3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10</v>
      </c>
      <c r="G27" s="3">
        <v>87594791</v>
      </c>
      <c r="H27" t="s">
        <v>16</v>
      </c>
      <c r="I27" s="2">
        <v>45520</v>
      </c>
    </row>
    <row r="28" spans="1:9" hidden="1" x14ac:dyDescent="0.3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11</v>
      </c>
      <c r="G28" s="3">
        <v>88660778</v>
      </c>
      <c r="H28" t="s">
        <v>16</v>
      </c>
      <c r="I28" s="2">
        <v>45558</v>
      </c>
    </row>
    <row r="29" spans="1:9" hidden="1" x14ac:dyDescent="0.3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12</v>
      </c>
      <c r="G29" s="3">
        <v>115744760</v>
      </c>
      <c r="H29" t="s">
        <v>16</v>
      </c>
      <c r="I29" s="2">
        <v>45620</v>
      </c>
    </row>
    <row r="30" spans="1:9" hidden="1" x14ac:dyDescent="0.3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13</v>
      </c>
      <c r="G30" s="3">
        <v>116119214</v>
      </c>
      <c r="H30" t="s">
        <v>16</v>
      </c>
      <c r="I30" s="2">
        <v>45602</v>
      </c>
    </row>
    <row r="31" spans="1:9" hidden="1" x14ac:dyDescent="0.3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14</v>
      </c>
      <c r="G31" s="3">
        <v>453255029</v>
      </c>
      <c r="H31" t="s">
        <v>16</v>
      </c>
      <c r="I31" s="2">
        <v>45688</v>
      </c>
    </row>
    <row r="32" spans="1:9" hidden="1" x14ac:dyDescent="0.3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15</v>
      </c>
      <c r="G32" s="3">
        <v>136105522</v>
      </c>
      <c r="H32" t="s">
        <v>16</v>
      </c>
      <c r="I32" s="2">
        <v>45721</v>
      </c>
    </row>
    <row r="33" spans="1:9" hidden="1" x14ac:dyDescent="0.3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16</v>
      </c>
      <c r="G33" s="3">
        <v>507101495</v>
      </c>
      <c r="H33" t="s">
        <v>16</v>
      </c>
      <c r="I33" s="2">
        <v>45786</v>
      </c>
    </row>
    <row r="34" spans="1:9" hidden="1" x14ac:dyDescent="0.3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17</v>
      </c>
      <c r="G34" s="3">
        <v>277730981</v>
      </c>
      <c r="H34" t="s">
        <v>16</v>
      </c>
      <c r="I34" s="2">
        <v>45864</v>
      </c>
    </row>
    <row r="35" spans="1:9" hidden="1" x14ac:dyDescent="0.3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18</v>
      </c>
      <c r="G35" s="3">
        <v>356498779</v>
      </c>
      <c r="H35" t="s">
        <v>16</v>
      </c>
      <c r="I35" s="2">
        <v>45864</v>
      </c>
    </row>
    <row r="36" spans="1:9" hidden="1" x14ac:dyDescent="0.3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19</v>
      </c>
      <c r="G36" s="3">
        <v>288259752</v>
      </c>
      <c r="H36" t="s">
        <v>16</v>
      </c>
      <c r="I36" s="2">
        <v>45864</v>
      </c>
    </row>
    <row r="37" spans="1:9" hidden="1" x14ac:dyDescent="0.3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20</v>
      </c>
      <c r="G37" s="3">
        <v>137304754</v>
      </c>
      <c r="H37" t="s">
        <v>16</v>
      </c>
      <c r="I37" s="2">
        <v>45931</v>
      </c>
    </row>
    <row r="38" spans="1:9" hidden="1" x14ac:dyDescent="0.3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21</v>
      </c>
      <c r="G38" s="3">
        <v>100082931</v>
      </c>
      <c r="H38" t="s">
        <v>16</v>
      </c>
      <c r="I38" s="2">
        <v>45931</v>
      </c>
    </row>
    <row r="39" spans="1:9" hidden="1" x14ac:dyDescent="0.3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22</v>
      </c>
      <c r="G39" s="3">
        <v>227650897</v>
      </c>
      <c r="H39" t="s">
        <v>16</v>
      </c>
      <c r="I39" s="2">
        <v>45931</v>
      </c>
    </row>
    <row r="40" spans="1:9" hidden="1" x14ac:dyDescent="0.3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23</v>
      </c>
      <c r="G40" s="3">
        <v>221962671</v>
      </c>
      <c r="H40" t="s">
        <v>16</v>
      </c>
      <c r="I40" s="2">
        <v>45931</v>
      </c>
    </row>
    <row r="41" spans="1:9" hidden="1" x14ac:dyDescent="0.3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24</v>
      </c>
      <c r="G41" s="3">
        <v>98818195</v>
      </c>
      <c r="H41" t="s">
        <v>16</v>
      </c>
      <c r="I41" s="2">
        <v>45989</v>
      </c>
    </row>
    <row r="42" spans="1:9" hidden="1" x14ac:dyDescent="0.3">
      <c r="A42" t="s">
        <v>32</v>
      </c>
      <c r="B42" t="s">
        <v>33</v>
      </c>
      <c r="C42" s="2">
        <v>45200</v>
      </c>
      <c r="D42" s="2">
        <v>45931</v>
      </c>
      <c r="E42" s="3">
        <v>24056722803</v>
      </c>
      <c r="F42">
        <v>25</v>
      </c>
      <c r="G42" s="3">
        <v>271256676</v>
      </c>
      <c r="H42" t="s">
        <v>16</v>
      </c>
      <c r="I42" s="2">
        <v>45989</v>
      </c>
    </row>
    <row r="43" spans="1:9" hidden="1" x14ac:dyDescent="0.3">
      <c r="A43" s="8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1</v>
      </c>
      <c r="G43" s="3">
        <v>26127818</v>
      </c>
      <c r="H43" t="s">
        <v>16</v>
      </c>
      <c r="I43" s="2">
        <v>45266</v>
      </c>
    </row>
    <row r="44" spans="1:9" hidden="1" x14ac:dyDescent="0.3">
      <c r="A44" s="4" t="s">
        <v>8</v>
      </c>
      <c r="B44" t="s">
        <v>34</v>
      </c>
      <c r="C44" s="2">
        <v>45250</v>
      </c>
      <c r="D44" s="2">
        <v>45280</v>
      </c>
      <c r="E44" s="3">
        <v>280497000</v>
      </c>
      <c r="F44">
        <v>2</v>
      </c>
      <c r="G44" s="3">
        <v>254369182</v>
      </c>
      <c r="H44" t="s">
        <v>16</v>
      </c>
      <c r="I44" s="2">
        <v>45478</v>
      </c>
    </row>
    <row r="45" spans="1:9" hidden="1" x14ac:dyDescent="0.3">
      <c r="A45" s="4" t="s">
        <v>8</v>
      </c>
      <c r="B45" t="s">
        <v>35</v>
      </c>
      <c r="C45" s="2">
        <v>45250</v>
      </c>
      <c r="D45" s="2">
        <v>45817</v>
      </c>
      <c r="E45" s="3">
        <f>2900000000*1.11</f>
        <v>3219000000.0000005</v>
      </c>
      <c r="F45">
        <v>1</v>
      </c>
      <c r="G45" s="3">
        <v>226258432</v>
      </c>
      <c r="H45" t="s">
        <v>16</v>
      </c>
      <c r="I45" s="2">
        <v>45266</v>
      </c>
    </row>
    <row r="46" spans="1:9" hidden="1" x14ac:dyDescent="0.3">
      <c r="A46" s="4" t="s">
        <v>8</v>
      </c>
      <c r="B46" t="s">
        <v>35</v>
      </c>
      <c r="C46" s="2">
        <v>45250</v>
      </c>
      <c r="D46" s="2">
        <v>45817</v>
      </c>
      <c r="E46" s="3">
        <f t="shared" ref="E46:E61" si="0">2900000000*1.11</f>
        <v>3219000000.0000005</v>
      </c>
      <c r="F46">
        <v>2</v>
      </c>
      <c r="G46" s="3">
        <v>139112864</v>
      </c>
      <c r="H46" t="s">
        <v>16</v>
      </c>
      <c r="I46" s="2">
        <v>45538</v>
      </c>
    </row>
    <row r="47" spans="1:9" hidden="1" x14ac:dyDescent="0.3">
      <c r="A47" s="4" t="s">
        <v>8</v>
      </c>
      <c r="B47" t="s">
        <v>35</v>
      </c>
      <c r="C47" s="2">
        <v>45250</v>
      </c>
      <c r="D47" s="2">
        <v>45817</v>
      </c>
      <c r="E47" s="3">
        <f t="shared" si="0"/>
        <v>3219000000.0000005</v>
      </c>
      <c r="F47">
        <v>3</v>
      </c>
      <c r="G47" s="3">
        <v>159244972</v>
      </c>
      <c r="H47" t="s">
        <v>16</v>
      </c>
      <c r="I47" s="2">
        <v>45538</v>
      </c>
    </row>
    <row r="48" spans="1:9" hidden="1" x14ac:dyDescent="0.3">
      <c r="A48" s="4" t="s">
        <v>8</v>
      </c>
      <c r="B48" t="s">
        <v>35</v>
      </c>
      <c r="C48" s="2">
        <v>45250</v>
      </c>
      <c r="D48" s="2">
        <v>45817</v>
      </c>
      <c r="E48" s="3">
        <f t="shared" si="0"/>
        <v>3219000000.0000005</v>
      </c>
      <c r="F48">
        <v>4</v>
      </c>
      <c r="G48" s="3">
        <v>159244972</v>
      </c>
      <c r="H48" t="s">
        <v>16</v>
      </c>
      <c r="I48" s="2">
        <v>45582</v>
      </c>
    </row>
    <row r="49" spans="1:9" hidden="1" x14ac:dyDescent="0.3">
      <c r="A49" s="4" t="s">
        <v>8</v>
      </c>
      <c r="B49" t="s">
        <v>35</v>
      </c>
      <c r="C49" s="2">
        <v>45250</v>
      </c>
      <c r="D49" s="2">
        <v>45817</v>
      </c>
      <c r="E49" s="3">
        <f t="shared" si="0"/>
        <v>3219000000.0000005</v>
      </c>
      <c r="F49">
        <v>5</v>
      </c>
      <c r="G49" s="3">
        <v>159244972</v>
      </c>
      <c r="H49" t="s">
        <v>16</v>
      </c>
      <c r="I49" s="2">
        <v>45618</v>
      </c>
    </row>
    <row r="50" spans="1:9" hidden="1" x14ac:dyDescent="0.3">
      <c r="A50" s="4" t="s">
        <v>8</v>
      </c>
      <c r="B50" t="s">
        <v>35</v>
      </c>
      <c r="C50" s="2">
        <v>45250</v>
      </c>
      <c r="D50" s="2">
        <v>45817</v>
      </c>
      <c r="E50" s="3">
        <f t="shared" si="0"/>
        <v>3219000000.0000005</v>
      </c>
      <c r="F50">
        <v>6</v>
      </c>
      <c r="G50" s="3">
        <v>159244972</v>
      </c>
      <c r="H50" t="s">
        <v>16</v>
      </c>
      <c r="I50" s="2">
        <v>45649</v>
      </c>
    </row>
    <row r="51" spans="1:9" hidden="1" x14ac:dyDescent="0.3">
      <c r="A51" s="4" t="s">
        <v>8</v>
      </c>
      <c r="B51" t="s">
        <v>35</v>
      </c>
      <c r="C51" s="2">
        <v>45250</v>
      </c>
      <c r="D51" s="2">
        <v>45817</v>
      </c>
      <c r="E51" s="3">
        <f t="shared" si="0"/>
        <v>3219000000.0000005</v>
      </c>
      <c r="F51">
        <v>7</v>
      </c>
      <c r="G51" s="3">
        <v>171324237</v>
      </c>
      <c r="H51" t="s">
        <v>16</v>
      </c>
      <c r="I51" s="2">
        <v>45674</v>
      </c>
    </row>
    <row r="52" spans="1:9" hidden="1" x14ac:dyDescent="0.3">
      <c r="A52" s="4" t="s">
        <v>8</v>
      </c>
      <c r="B52" t="s">
        <v>35</v>
      </c>
      <c r="C52" s="2">
        <v>45250</v>
      </c>
      <c r="D52" s="2">
        <v>45817</v>
      </c>
      <c r="E52" s="3">
        <f t="shared" si="0"/>
        <v>3219000000.0000005</v>
      </c>
      <c r="F52">
        <v>8</v>
      </c>
      <c r="G52" s="3">
        <v>183403501</v>
      </c>
      <c r="H52" t="s">
        <v>16</v>
      </c>
      <c r="I52" s="2">
        <v>45708</v>
      </c>
    </row>
    <row r="53" spans="1:9" hidden="1" x14ac:dyDescent="0.3">
      <c r="A53" s="4" t="s">
        <v>8</v>
      </c>
      <c r="B53" t="s">
        <v>35</v>
      </c>
      <c r="C53" s="2">
        <v>45250</v>
      </c>
      <c r="D53" s="2">
        <v>45817</v>
      </c>
      <c r="E53" s="3">
        <f t="shared" si="0"/>
        <v>3219000000.0000005</v>
      </c>
      <c r="F53">
        <v>9</v>
      </c>
      <c r="G53" s="3">
        <v>183403501</v>
      </c>
      <c r="H53" t="s">
        <v>16</v>
      </c>
      <c r="I53" s="2">
        <v>45735</v>
      </c>
    </row>
    <row r="54" spans="1:9" hidden="1" x14ac:dyDescent="0.3">
      <c r="A54" s="4" t="s">
        <v>8</v>
      </c>
      <c r="B54" t="s">
        <v>35</v>
      </c>
      <c r="C54" s="2">
        <v>45250</v>
      </c>
      <c r="D54" s="2">
        <v>45817</v>
      </c>
      <c r="E54" s="3">
        <f t="shared" si="0"/>
        <v>3219000000.0000005</v>
      </c>
      <c r="F54">
        <v>10</v>
      </c>
      <c r="G54" s="3">
        <v>183403502</v>
      </c>
      <c r="H54" t="s">
        <v>16</v>
      </c>
      <c r="I54" s="2">
        <v>45768</v>
      </c>
    </row>
    <row r="55" spans="1:9" hidden="1" x14ac:dyDescent="0.3">
      <c r="A55" s="4" t="s">
        <v>8</v>
      </c>
      <c r="B55" t="s">
        <v>35</v>
      </c>
      <c r="C55" s="2">
        <v>45250</v>
      </c>
      <c r="D55" s="2">
        <v>45817</v>
      </c>
      <c r="E55" s="3">
        <f t="shared" si="0"/>
        <v>3219000000.0000005</v>
      </c>
      <c r="F55">
        <v>11</v>
      </c>
      <c r="G55" s="3">
        <v>183403501</v>
      </c>
      <c r="H55" t="s">
        <v>16</v>
      </c>
      <c r="I55" s="2">
        <v>45799</v>
      </c>
    </row>
    <row r="56" spans="1:9" hidden="1" x14ac:dyDescent="0.3">
      <c r="A56" s="4" t="s">
        <v>8</v>
      </c>
      <c r="B56" t="s">
        <v>35</v>
      </c>
      <c r="C56" s="2">
        <v>45250</v>
      </c>
      <c r="D56" s="2">
        <v>45817</v>
      </c>
      <c r="E56" s="3">
        <f t="shared" si="0"/>
        <v>3219000000.0000005</v>
      </c>
      <c r="F56">
        <v>12</v>
      </c>
      <c r="G56" s="3">
        <v>183403501</v>
      </c>
      <c r="H56" t="s">
        <v>16</v>
      </c>
      <c r="I56" s="2">
        <v>45827</v>
      </c>
    </row>
    <row r="57" spans="1:9" hidden="1" x14ac:dyDescent="0.3">
      <c r="A57" s="4" t="s">
        <v>8</v>
      </c>
      <c r="B57" t="s">
        <v>35</v>
      </c>
      <c r="C57" s="2">
        <v>45250</v>
      </c>
      <c r="D57" s="2">
        <v>45817</v>
      </c>
      <c r="E57" s="3">
        <f t="shared" si="0"/>
        <v>3219000000.0000005</v>
      </c>
      <c r="F57">
        <v>13</v>
      </c>
      <c r="G57" s="3">
        <v>144145891</v>
      </c>
      <c r="H57" t="s">
        <v>16</v>
      </c>
      <c r="I57" s="2">
        <v>45863</v>
      </c>
    </row>
    <row r="58" spans="1:9" hidden="1" x14ac:dyDescent="0.3">
      <c r="A58" s="4" t="s">
        <v>8</v>
      </c>
      <c r="B58" t="s">
        <v>35</v>
      </c>
      <c r="C58" s="2">
        <v>45250</v>
      </c>
      <c r="D58" s="2">
        <v>45817</v>
      </c>
      <c r="E58" s="3">
        <f t="shared" si="0"/>
        <v>3219000000.0000005</v>
      </c>
      <c r="F58">
        <v>14</v>
      </c>
      <c r="G58" s="3">
        <v>181419929</v>
      </c>
      <c r="H58" t="s">
        <v>16</v>
      </c>
      <c r="I58" s="2">
        <v>45896</v>
      </c>
    </row>
    <row r="59" spans="1:9" hidden="1" x14ac:dyDescent="0.3">
      <c r="A59" s="4" t="s">
        <v>8</v>
      </c>
      <c r="B59" t="s">
        <v>35</v>
      </c>
      <c r="C59" s="2">
        <v>45250</v>
      </c>
      <c r="D59" s="2">
        <v>45817</v>
      </c>
      <c r="E59" s="3">
        <f t="shared" si="0"/>
        <v>3219000000.0000005</v>
      </c>
      <c r="F59">
        <v>15</v>
      </c>
      <c r="G59" s="3">
        <v>181373872</v>
      </c>
      <c r="H59" t="s">
        <v>16</v>
      </c>
      <c r="I59" s="2">
        <v>45936</v>
      </c>
    </row>
    <row r="60" spans="1:9" hidden="1" x14ac:dyDescent="0.3">
      <c r="A60" s="4" t="s">
        <v>8</v>
      </c>
      <c r="B60" t="s">
        <v>35</v>
      </c>
      <c r="C60" s="2">
        <v>45250</v>
      </c>
      <c r="D60" s="2">
        <v>45817</v>
      </c>
      <c r="E60" s="3">
        <f t="shared" si="0"/>
        <v>3219000000.0000005</v>
      </c>
      <c r="F60">
        <v>16</v>
      </c>
      <c r="G60" s="3">
        <v>174558350</v>
      </c>
      <c r="H60" t="s">
        <v>16</v>
      </c>
      <c r="I60" s="2">
        <v>45961</v>
      </c>
    </row>
    <row r="61" spans="1:9" hidden="1" x14ac:dyDescent="0.3">
      <c r="A61" s="4" t="s">
        <v>8</v>
      </c>
      <c r="B61" t="s">
        <v>35</v>
      </c>
      <c r="C61" s="2">
        <v>45250</v>
      </c>
      <c r="D61" s="2">
        <v>45817</v>
      </c>
      <c r="E61" s="3">
        <f t="shared" si="0"/>
        <v>3219000000.0000005</v>
      </c>
      <c r="F61">
        <v>17</v>
      </c>
      <c r="G61" s="3">
        <v>207858350</v>
      </c>
      <c r="H61" t="s">
        <v>16</v>
      </c>
      <c r="I61" s="2">
        <v>45989</v>
      </c>
    </row>
    <row r="62" spans="1:9" hidden="1" x14ac:dyDescent="0.3">
      <c r="A62" s="7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1</v>
      </c>
      <c r="G62" s="3">
        <v>40559400</v>
      </c>
      <c r="H62" t="s">
        <v>16</v>
      </c>
      <c r="I62" s="2">
        <v>45316</v>
      </c>
    </row>
    <row r="63" spans="1:9" hidden="1" x14ac:dyDescent="0.3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2</v>
      </c>
      <c r="G63" s="3">
        <v>101398500</v>
      </c>
      <c r="H63" t="s">
        <v>16</v>
      </c>
      <c r="I63" s="2">
        <v>45345</v>
      </c>
    </row>
    <row r="64" spans="1:9" hidden="1" x14ac:dyDescent="0.3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3</v>
      </c>
      <c r="G64" s="3">
        <v>81118800</v>
      </c>
      <c r="H64" t="s">
        <v>16</v>
      </c>
      <c r="I64" s="2">
        <v>45558</v>
      </c>
    </row>
    <row r="65" spans="1:9" hidden="1" x14ac:dyDescent="0.3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4</v>
      </c>
      <c r="G65" s="3">
        <v>116788650</v>
      </c>
      <c r="H65" t="s">
        <v>16</v>
      </c>
      <c r="I65" s="2">
        <v>45695</v>
      </c>
    </row>
    <row r="66" spans="1:9" hidden="1" x14ac:dyDescent="0.3">
      <c r="A66" t="s">
        <v>11</v>
      </c>
      <c r="B66" t="s">
        <v>36</v>
      </c>
      <c r="C66" s="2">
        <v>45314</v>
      </c>
      <c r="D66" s="2">
        <v>45770</v>
      </c>
      <c r="E66" s="3">
        <v>456654000</v>
      </c>
      <c r="F66">
        <v>5</v>
      </c>
      <c r="G66" s="3">
        <v>58394325</v>
      </c>
      <c r="H66" t="s">
        <v>16</v>
      </c>
      <c r="I66" s="2">
        <v>45964</v>
      </c>
    </row>
    <row r="67" spans="1:9" hidden="1" x14ac:dyDescent="0.3">
      <c r="A67" s="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1</v>
      </c>
      <c r="G67" s="3">
        <v>2212911631</v>
      </c>
      <c r="H67" t="s">
        <v>16</v>
      </c>
      <c r="I67" s="2">
        <v>45478</v>
      </c>
    </row>
    <row r="68" spans="1:9" hidden="1" x14ac:dyDescent="0.3">
      <c r="A68" t="s">
        <v>15</v>
      </c>
      <c r="B68" t="s">
        <v>37</v>
      </c>
      <c r="C68" s="2">
        <v>45455</v>
      </c>
      <c r="D68" s="2">
        <v>46430</v>
      </c>
      <c r="E68" s="3">
        <v>7376372103</v>
      </c>
      <c r="F68">
        <v>2</v>
      </c>
      <c r="G68" s="3">
        <v>3688186052</v>
      </c>
      <c r="H68" t="s">
        <v>16</v>
      </c>
      <c r="I68" s="2">
        <v>45622</v>
      </c>
    </row>
    <row r="69" spans="1:9" hidden="1" x14ac:dyDescent="0.3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1</v>
      </c>
      <c r="G69" s="3">
        <v>251034632</v>
      </c>
      <c r="H69" t="s">
        <v>16</v>
      </c>
      <c r="I69" s="2">
        <v>45478</v>
      </c>
    </row>
    <row r="70" spans="1:9" hidden="1" x14ac:dyDescent="0.3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2</v>
      </c>
      <c r="G70" s="3">
        <v>175724243</v>
      </c>
      <c r="H70" t="s">
        <v>16</v>
      </c>
      <c r="I70" s="2">
        <v>45849</v>
      </c>
    </row>
    <row r="71" spans="1:9" hidden="1" x14ac:dyDescent="0.3">
      <c r="A71" t="s">
        <v>15</v>
      </c>
      <c r="B71" t="s">
        <v>38</v>
      </c>
      <c r="C71" s="2">
        <v>45455</v>
      </c>
      <c r="D71" s="2">
        <v>46430</v>
      </c>
      <c r="E71" s="3">
        <v>929757897</v>
      </c>
      <c r="F71">
        <v>3</v>
      </c>
      <c r="G71" s="3">
        <v>246013940</v>
      </c>
      <c r="H71" t="s">
        <v>16</v>
      </c>
      <c r="I71" s="2">
        <v>45849</v>
      </c>
    </row>
    <row r="72" spans="1:9" hidden="1" x14ac:dyDescent="0.3">
      <c r="A72" t="s">
        <v>15</v>
      </c>
      <c r="B72" t="s">
        <v>39</v>
      </c>
      <c r="C72" s="2">
        <v>45455</v>
      </c>
      <c r="D72" s="2">
        <v>46430</v>
      </c>
      <c r="E72" s="3">
        <v>1596180000</v>
      </c>
      <c r="F72">
        <v>1</v>
      </c>
      <c r="G72" s="3">
        <v>478854000</v>
      </c>
      <c r="H72" t="s">
        <v>16</v>
      </c>
      <c r="I72" s="2">
        <v>45897</v>
      </c>
    </row>
    <row r="73" spans="1:9" s="13" customFormat="1" hidden="1" x14ac:dyDescent="0.3">
      <c r="A73" s="13" t="s">
        <v>15</v>
      </c>
      <c r="B73" s="13" t="s">
        <v>98</v>
      </c>
      <c r="C73" s="14">
        <v>45455</v>
      </c>
      <c r="D73" s="14">
        <v>46430</v>
      </c>
      <c r="E73" s="15">
        <v>1104450000</v>
      </c>
      <c r="F73" s="13">
        <v>1</v>
      </c>
      <c r="G73" s="15">
        <v>0</v>
      </c>
      <c r="H73" s="13" t="s">
        <v>78</v>
      </c>
      <c r="I73" s="14"/>
    </row>
    <row r="74" spans="1:9" hidden="1" x14ac:dyDescent="0.3">
      <c r="A74" s="7" t="s">
        <v>40</v>
      </c>
      <c r="B74" t="s">
        <v>97</v>
      </c>
      <c r="C74" s="2">
        <v>45826</v>
      </c>
      <c r="D74" s="2">
        <v>46374</v>
      </c>
      <c r="E74" s="3">
        <v>6715500000</v>
      </c>
      <c r="F74">
        <v>1</v>
      </c>
      <c r="G74" s="3">
        <f>2075700000+610500000</f>
        <v>2686200000</v>
      </c>
      <c r="H74" t="s">
        <v>16</v>
      </c>
      <c r="I74" s="2">
        <v>45478</v>
      </c>
    </row>
    <row r="75" spans="1:9" hidden="1" x14ac:dyDescent="0.3">
      <c r="A75" t="s">
        <v>40</v>
      </c>
      <c r="B75" t="s">
        <v>97</v>
      </c>
      <c r="C75" s="2">
        <v>45826</v>
      </c>
      <c r="D75" s="2">
        <v>46374</v>
      </c>
      <c r="E75" s="3">
        <v>6715500000</v>
      </c>
      <c r="F75">
        <v>2</v>
      </c>
      <c r="G75" s="3">
        <f>3113550000+763125000</f>
        <v>3876675000</v>
      </c>
      <c r="H75" t="s">
        <v>16</v>
      </c>
      <c r="I75" s="2">
        <v>45706</v>
      </c>
    </row>
    <row r="76" spans="1:9" hidden="1" x14ac:dyDescent="0.3">
      <c r="A76" t="s">
        <v>40</v>
      </c>
      <c r="B76" t="s">
        <v>41</v>
      </c>
      <c r="C76" s="2">
        <v>45826</v>
      </c>
      <c r="D76" s="2">
        <v>46374</v>
      </c>
      <c r="E76" s="3">
        <v>1616160000</v>
      </c>
      <c r="F76">
        <v>1</v>
      </c>
      <c r="G76" s="3">
        <v>80808000</v>
      </c>
      <c r="H76" t="s">
        <v>16</v>
      </c>
      <c r="I76" s="2">
        <v>45792</v>
      </c>
    </row>
    <row r="77" spans="1:9" hidden="1" x14ac:dyDescent="0.3">
      <c r="A77" t="s">
        <v>40</v>
      </c>
      <c r="B77" t="s">
        <v>41</v>
      </c>
      <c r="C77" s="2">
        <v>45826</v>
      </c>
      <c r="D77" s="2">
        <v>46374</v>
      </c>
      <c r="E77" s="3">
        <v>1616160000</v>
      </c>
      <c r="F77">
        <v>2</v>
      </c>
      <c r="G77" s="3">
        <v>80808000</v>
      </c>
      <c r="H77" t="s">
        <v>16</v>
      </c>
      <c r="I77" s="2">
        <v>45810</v>
      </c>
    </row>
    <row r="78" spans="1:9" hidden="1" x14ac:dyDescent="0.3">
      <c r="A78" t="s">
        <v>40</v>
      </c>
      <c r="B78" t="s">
        <v>41</v>
      </c>
      <c r="C78" s="2">
        <v>45826</v>
      </c>
      <c r="D78" s="2">
        <v>46374</v>
      </c>
      <c r="E78" s="3">
        <v>1616160000</v>
      </c>
      <c r="F78">
        <v>3</v>
      </c>
      <c r="G78" s="3">
        <v>80808000</v>
      </c>
      <c r="H78" t="s">
        <v>16</v>
      </c>
      <c r="I78" s="2">
        <v>45820</v>
      </c>
    </row>
    <row r="79" spans="1:9" hidden="1" x14ac:dyDescent="0.3">
      <c r="A79" t="s">
        <v>40</v>
      </c>
      <c r="B79" t="s">
        <v>41</v>
      </c>
      <c r="C79" s="2">
        <v>45826</v>
      </c>
      <c r="D79" s="2">
        <v>46374</v>
      </c>
      <c r="E79" s="3">
        <v>1616160000</v>
      </c>
      <c r="F79">
        <v>4</v>
      </c>
      <c r="G79" s="3">
        <v>80808000</v>
      </c>
      <c r="H79" t="s">
        <v>16</v>
      </c>
      <c r="I79" s="2">
        <v>45834</v>
      </c>
    </row>
    <row r="80" spans="1:9" hidden="1" x14ac:dyDescent="0.3">
      <c r="A80" t="s">
        <v>40</v>
      </c>
      <c r="B80" t="s">
        <v>41</v>
      </c>
      <c r="C80" s="2">
        <v>45826</v>
      </c>
      <c r="D80" s="2">
        <v>46374</v>
      </c>
      <c r="E80" s="3">
        <v>1616160000</v>
      </c>
      <c r="F80">
        <v>5</v>
      </c>
      <c r="G80" s="3">
        <v>80808000</v>
      </c>
      <c r="H80" t="s">
        <v>16</v>
      </c>
      <c r="I80" s="2">
        <v>45846</v>
      </c>
    </row>
    <row r="81" spans="1:9" hidden="1" x14ac:dyDescent="0.3">
      <c r="A81" t="s">
        <v>40</v>
      </c>
      <c r="B81" t="s">
        <v>41</v>
      </c>
      <c r="C81" s="2">
        <v>45826</v>
      </c>
      <c r="D81" s="2">
        <v>46374</v>
      </c>
      <c r="E81" s="3">
        <v>1616160000</v>
      </c>
      <c r="F81">
        <v>6</v>
      </c>
      <c r="G81" s="3">
        <v>80808000</v>
      </c>
      <c r="H81" t="s">
        <v>16</v>
      </c>
      <c r="I81" s="2">
        <v>45863</v>
      </c>
    </row>
    <row r="82" spans="1:9" hidden="1" x14ac:dyDescent="0.3">
      <c r="A82" t="s">
        <v>40</v>
      </c>
      <c r="B82" t="s">
        <v>41</v>
      </c>
      <c r="C82" s="2">
        <v>45826</v>
      </c>
      <c r="D82" s="2">
        <v>46374</v>
      </c>
      <c r="E82" s="3">
        <v>1616160000</v>
      </c>
      <c r="F82">
        <v>7</v>
      </c>
      <c r="G82" s="3">
        <v>80808000</v>
      </c>
      <c r="H82" t="s">
        <v>16</v>
      </c>
      <c r="I82" s="2">
        <v>45875</v>
      </c>
    </row>
    <row r="83" spans="1:9" hidden="1" x14ac:dyDescent="0.3">
      <c r="A83" t="s">
        <v>40</v>
      </c>
      <c r="B83" t="s">
        <v>41</v>
      </c>
      <c r="C83" s="2">
        <v>45826</v>
      </c>
      <c r="D83" s="2">
        <v>46374</v>
      </c>
      <c r="E83" s="3">
        <v>1616160000</v>
      </c>
      <c r="F83">
        <v>8</v>
      </c>
      <c r="G83" s="3">
        <v>80808000</v>
      </c>
      <c r="H83" t="s">
        <v>16</v>
      </c>
      <c r="I83" s="2">
        <v>45884</v>
      </c>
    </row>
    <row r="84" spans="1:9" hidden="1" x14ac:dyDescent="0.3">
      <c r="A84" t="s">
        <v>40</v>
      </c>
      <c r="B84" t="s">
        <v>41</v>
      </c>
      <c r="C84" s="2">
        <v>45826</v>
      </c>
      <c r="D84" s="2">
        <v>46374</v>
      </c>
      <c r="E84" s="3">
        <v>1616160000</v>
      </c>
      <c r="F84">
        <v>9</v>
      </c>
      <c r="G84" s="3">
        <v>80808000</v>
      </c>
      <c r="H84" t="s">
        <v>16</v>
      </c>
      <c r="I84" s="2">
        <v>45902</v>
      </c>
    </row>
    <row r="85" spans="1:9" hidden="1" x14ac:dyDescent="0.3">
      <c r="A85" t="s">
        <v>40</v>
      </c>
      <c r="B85" t="s">
        <v>41</v>
      </c>
      <c r="C85" s="2">
        <v>45826</v>
      </c>
      <c r="D85" s="2">
        <v>46374</v>
      </c>
      <c r="E85" s="3">
        <v>1616160000</v>
      </c>
      <c r="F85">
        <v>10</v>
      </c>
      <c r="G85" s="3">
        <v>80808000</v>
      </c>
      <c r="H85" t="s">
        <v>16</v>
      </c>
      <c r="I85" s="2">
        <v>45919</v>
      </c>
    </row>
    <row r="86" spans="1:9" hidden="1" x14ac:dyDescent="0.3">
      <c r="A86" t="s">
        <v>40</v>
      </c>
      <c r="B86" t="s">
        <v>41</v>
      </c>
      <c r="C86" s="2">
        <v>45826</v>
      </c>
      <c r="D86" s="2">
        <v>46374</v>
      </c>
      <c r="E86" s="3">
        <v>1616160000</v>
      </c>
      <c r="F86">
        <v>11</v>
      </c>
      <c r="G86" s="3">
        <v>80808000</v>
      </c>
      <c r="H86" t="s">
        <v>16</v>
      </c>
      <c r="I86" s="2">
        <v>45938</v>
      </c>
    </row>
    <row r="87" spans="1:9" hidden="1" x14ac:dyDescent="0.3">
      <c r="A87" t="s">
        <v>40</v>
      </c>
      <c r="B87" t="s">
        <v>41</v>
      </c>
      <c r="C87" s="2">
        <v>45826</v>
      </c>
      <c r="D87" s="2">
        <v>46374</v>
      </c>
      <c r="E87" s="3">
        <v>1616160000</v>
      </c>
      <c r="F87">
        <v>12</v>
      </c>
      <c r="G87" s="3">
        <v>80808000</v>
      </c>
      <c r="H87" t="s">
        <v>16</v>
      </c>
      <c r="I87" s="2">
        <v>45951</v>
      </c>
    </row>
    <row r="88" spans="1:9" hidden="1" x14ac:dyDescent="0.3">
      <c r="A88" t="s">
        <v>40</v>
      </c>
      <c r="B88" t="s">
        <v>41</v>
      </c>
      <c r="C88" s="2">
        <v>45826</v>
      </c>
      <c r="D88" s="2">
        <v>46374</v>
      </c>
      <c r="E88" s="3">
        <v>1616160000</v>
      </c>
      <c r="F88">
        <v>13</v>
      </c>
      <c r="G88" s="3">
        <v>80808000</v>
      </c>
      <c r="H88" t="s">
        <v>16</v>
      </c>
      <c r="I88" s="2">
        <v>45972</v>
      </c>
    </row>
    <row r="89" spans="1:9" hidden="1" x14ac:dyDescent="0.3">
      <c r="A89" t="s">
        <v>40</v>
      </c>
      <c r="B89" t="s">
        <v>41</v>
      </c>
      <c r="C89" s="2">
        <v>45826</v>
      </c>
      <c r="D89" s="2">
        <v>46374</v>
      </c>
      <c r="E89" s="3">
        <v>1616160000</v>
      </c>
      <c r="F89">
        <v>14</v>
      </c>
      <c r="G89" s="3">
        <v>80808000</v>
      </c>
      <c r="H89" t="s">
        <v>16</v>
      </c>
      <c r="I89" s="2">
        <v>45989</v>
      </c>
    </row>
    <row r="90" spans="1:9" hidden="1" x14ac:dyDescent="0.3">
      <c r="A90" s="7" t="s">
        <v>7</v>
      </c>
      <c r="B90" t="s">
        <v>42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hidden="1" x14ac:dyDescent="0.3">
      <c r="A91" t="s">
        <v>7</v>
      </c>
      <c r="B91" t="s">
        <v>42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hidden="1" x14ac:dyDescent="0.3">
      <c r="A92" t="s">
        <v>7</v>
      </c>
      <c r="B92" t="s">
        <v>42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hidden="1" x14ac:dyDescent="0.3">
      <c r="A93" t="s">
        <v>7</v>
      </c>
      <c r="B93" t="s">
        <v>42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hidden="1" x14ac:dyDescent="0.3">
      <c r="A94" t="s">
        <v>7</v>
      </c>
      <c r="B94" t="s">
        <v>42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hidden="1" x14ac:dyDescent="0.3">
      <c r="A95" s="7" t="s">
        <v>13</v>
      </c>
      <c r="B95" t="s">
        <v>43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hidden="1" x14ac:dyDescent="0.3">
      <c r="A96" t="s">
        <v>13</v>
      </c>
      <c r="B96" t="s">
        <v>43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hidden="1" x14ac:dyDescent="0.3">
      <c r="A97" t="s">
        <v>13</v>
      </c>
      <c r="B97" t="s">
        <v>43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hidden="1" x14ac:dyDescent="0.3">
      <c r="A98" s="7" t="s">
        <v>9</v>
      </c>
      <c r="B98" t="s">
        <v>44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hidden="1" x14ac:dyDescent="0.3">
      <c r="A99" t="s">
        <v>9</v>
      </c>
      <c r="B99" t="s">
        <v>44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hidden="1" x14ac:dyDescent="0.3">
      <c r="A100" t="s">
        <v>9</v>
      </c>
      <c r="B100" t="s">
        <v>44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hidden="1" x14ac:dyDescent="0.3">
      <c r="A101" t="s">
        <v>9</v>
      </c>
      <c r="B101" t="s">
        <v>44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hidden="1" x14ac:dyDescent="0.3">
      <c r="A102" t="s">
        <v>9</v>
      </c>
      <c r="B102" t="s">
        <v>44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hidden="1" x14ac:dyDescent="0.3">
      <c r="A103" t="s">
        <v>9</v>
      </c>
      <c r="B103" t="s">
        <v>44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hidden="1" x14ac:dyDescent="0.3">
      <c r="A104" t="s">
        <v>9</v>
      </c>
      <c r="B104" t="s">
        <v>44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hidden="1" x14ac:dyDescent="0.3">
      <c r="A105" s="7" t="s">
        <v>45</v>
      </c>
      <c r="B105" t="s">
        <v>46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hidden="1" x14ac:dyDescent="0.3">
      <c r="A106" t="s">
        <v>45</v>
      </c>
      <c r="B106" t="s">
        <v>46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hidden="1" x14ac:dyDescent="0.3">
      <c r="A107" t="s">
        <v>45</v>
      </c>
      <c r="B107" t="s">
        <v>46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hidden="1" x14ac:dyDescent="0.3">
      <c r="A108" t="s">
        <v>45</v>
      </c>
      <c r="B108" t="s">
        <v>46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hidden="1" x14ac:dyDescent="0.3">
      <c r="A109" t="s">
        <v>45</v>
      </c>
      <c r="B109" t="s">
        <v>46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hidden="1" x14ac:dyDescent="0.3">
      <c r="A110" t="s">
        <v>45</v>
      </c>
      <c r="B110" t="s">
        <v>46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hidden="1" x14ac:dyDescent="0.3">
      <c r="A111" t="s">
        <v>45</v>
      </c>
      <c r="B111" t="s">
        <v>46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hidden="1" x14ac:dyDescent="0.3">
      <c r="A112" t="s">
        <v>45</v>
      </c>
      <c r="B112" t="s">
        <v>46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hidden="1" x14ac:dyDescent="0.3">
      <c r="A113" t="s">
        <v>45</v>
      </c>
      <c r="B113" t="s">
        <v>46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hidden="1" x14ac:dyDescent="0.3">
      <c r="A114" t="s">
        <v>45</v>
      </c>
      <c r="B114" t="s">
        <v>46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hidden="1" x14ac:dyDescent="0.3">
      <c r="A115" t="s">
        <v>45</v>
      </c>
      <c r="B115" t="s">
        <v>46</v>
      </c>
      <c r="C115" s="2">
        <v>45474</v>
      </c>
      <c r="D115" s="2">
        <v>46197</v>
      </c>
      <c r="E115" s="3">
        <v>86580000</v>
      </c>
      <c r="F115">
        <v>11</v>
      </c>
      <c r="G115" s="3">
        <v>9990000</v>
      </c>
      <c r="H115" t="s">
        <v>16</v>
      </c>
      <c r="I115" s="2">
        <v>45805</v>
      </c>
      <c r="N115" s="5"/>
      <c r="O115" s="5"/>
    </row>
    <row r="116" spans="1:15" hidden="1" x14ac:dyDescent="0.3">
      <c r="A116" t="s">
        <v>45</v>
      </c>
      <c r="B116" t="s">
        <v>46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hidden="1" x14ac:dyDescent="0.3">
      <c r="A117" t="s">
        <v>45</v>
      </c>
      <c r="B117" t="s">
        <v>46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hidden="1" x14ac:dyDescent="0.3">
      <c r="A118" t="s">
        <v>45</v>
      </c>
      <c r="B118" t="s">
        <v>46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hidden="1" x14ac:dyDescent="0.3">
      <c r="A119" t="s">
        <v>45</v>
      </c>
      <c r="B119" t="s">
        <v>46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hidden="1" x14ac:dyDescent="0.3">
      <c r="A120" t="s">
        <v>45</v>
      </c>
      <c r="B120" t="s">
        <v>46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hidden="1" x14ac:dyDescent="0.3">
      <c r="A121" t="s">
        <v>45</v>
      </c>
      <c r="B121" t="s">
        <v>46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hidden="1" x14ac:dyDescent="0.3">
      <c r="A122" t="s">
        <v>45</v>
      </c>
      <c r="B122" t="s">
        <v>46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4" hidden="1" customHeight="1" x14ac:dyDescent="0.3">
      <c r="A123" s="7" t="s">
        <v>47</v>
      </c>
      <c r="B123" t="s">
        <v>48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hidden="1" customHeight="1" x14ac:dyDescent="0.3">
      <c r="A124" s="7" t="s">
        <v>49</v>
      </c>
      <c r="B124" t="s">
        <v>50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4" hidden="1" customHeight="1" x14ac:dyDescent="0.3">
      <c r="A125" s="7" t="s">
        <v>51</v>
      </c>
      <c r="B125" t="s">
        <v>52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hidden="1" customHeight="1" x14ac:dyDescent="0.3">
      <c r="A126" s="7" t="s">
        <v>53</v>
      </c>
      <c r="B126" t="s">
        <v>54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hidden="1" x14ac:dyDescent="0.3">
      <c r="A127" t="s">
        <v>53</v>
      </c>
      <c r="B127" t="s">
        <v>54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3">
      <c r="A128" s="7" t="s">
        <v>12</v>
      </c>
      <c r="B128" t="s">
        <v>81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3">
      <c r="A129" t="s">
        <v>12</v>
      </c>
      <c r="B129" t="s">
        <v>81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3">
      <c r="A130" t="s">
        <v>12</v>
      </c>
      <c r="B130" t="s">
        <v>81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3">
      <c r="A131" t="s">
        <v>12</v>
      </c>
      <c r="B131" t="s">
        <v>81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3">
      <c r="A132" t="s">
        <v>12</v>
      </c>
      <c r="B132" t="s">
        <v>81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3">
      <c r="A133" t="s">
        <v>12</v>
      </c>
      <c r="B133" t="s">
        <v>81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3">
      <c r="A134" t="s">
        <v>12</v>
      </c>
      <c r="B134" t="s">
        <v>81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3">
      <c r="A135" t="s">
        <v>12</v>
      </c>
      <c r="B135" t="s">
        <v>81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3">
      <c r="A136" t="s">
        <v>12</v>
      </c>
      <c r="B136" t="s">
        <v>81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hidden="1" x14ac:dyDescent="0.3">
      <c r="A137" t="s">
        <v>12</v>
      </c>
      <c r="B137" t="s">
        <v>81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hidden="1" x14ac:dyDescent="0.3">
      <c r="A138" t="s">
        <v>12</v>
      </c>
      <c r="B138" t="s">
        <v>81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hidden="1" x14ac:dyDescent="0.3">
      <c r="A139" s="7" t="s">
        <v>24</v>
      </c>
      <c r="B139" t="s">
        <v>80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hidden="1" x14ac:dyDescent="0.3">
      <c r="A140" t="s">
        <v>24</v>
      </c>
      <c r="B140" t="s">
        <v>80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hidden="1" x14ac:dyDescent="0.3">
      <c r="A141" s="7" t="s">
        <v>10</v>
      </c>
      <c r="B141" t="s">
        <v>55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hidden="1" x14ac:dyDescent="0.3">
      <c r="A142" t="s">
        <v>10</v>
      </c>
      <c r="B142" t="s">
        <v>55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hidden="1" x14ac:dyDescent="0.3">
      <c r="A143" t="s">
        <v>10</v>
      </c>
      <c r="B143" t="s">
        <v>55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hidden="1" x14ac:dyDescent="0.3">
      <c r="A144" s="7" t="s">
        <v>56</v>
      </c>
      <c r="B144" t="s">
        <v>57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hidden="1" x14ac:dyDescent="0.3">
      <c r="A145" t="s">
        <v>56</v>
      </c>
      <c r="B145" t="s">
        <v>57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hidden="1" x14ac:dyDescent="0.3">
      <c r="A146" t="s">
        <v>56</v>
      </c>
      <c r="B146" t="s">
        <v>57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hidden="1" x14ac:dyDescent="0.3">
      <c r="A147" s="7" t="s">
        <v>11</v>
      </c>
      <c r="B147" t="s">
        <v>58</v>
      </c>
      <c r="C147" s="2">
        <v>45636</v>
      </c>
      <c r="D147" s="2">
        <v>45726</v>
      </c>
      <c r="E147" s="3">
        <f>307930000*1.11</f>
        <v>341802300.00000006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hidden="1" x14ac:dyDescent="0.3">
      <c r="A148" t="s">
        <v>11</v>
      </c>
      <c r="B148" t="s">
        <v>58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hidden="1" x14ac:dyDescent="0.3">
      <c r="A149" t="s">
        <v>11</v>
      </c>
      <c r="B149" t="s">
        <v>58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hidden="1" x14ac:dyDescent="0.3">
      <c r="A150" t="s">
        <v>11</v>
      </c>
      <c r="B150" t="s">
        <v>59</v>
      </c>
      <c r="C150" s="2">
        <v>45636</v>
      </c>
      <c r="D150" s="2">
        <v>45726</v>
      </c>
      <c r="E150" s="3">
        <f>179308000*1.11</f>
        <v>199031880.00000003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hidden="1" x14ac:dyDescent="0.3">
      <c r="A151" t="s">
        <v>11</v>
      </c>
      <c r="B151" t="s">
        <v>59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hidden="1" x14ac:dyDescent="0.3">
      <c r="A152" s="9" t="s">
        <v>11</v>
      </c>
      <c r="B152" s="9" t="s">
        <v>59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hidden="1" x14ac:dyDescent="0.3">
      <c r="A153" s="9" t="s">
        <v>11</v>
      </c>
      <c r="B153" s="9" t="s">
        <v>59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hidden="1" x14ac:dyDescent="0.3">
      <c r="A154" s="9" t="s">
        <v>11</v>
      </c>
      <c r="B154" s="9" t="s">
        <v>59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hidden="1" x14ac:dyDescent="0.3">
      <c r="A155" s="9" t="s">
        <v>11</v>
      </c>
      <c r="B155" s="9" t="s">
        <v>59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3">
      <c r="A156" s="7" t="s">
        <v>12</v>
      </c>
      <c r="B156" t="s">
        <v>60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3">
      <c r="A157" t="s">
        <v>12</v>
      </c>
      <c r="B157" t="s">
        <v>60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3">
      <c r="A158" t="s">
        <v>12</v>
      </c>
      <c r="B158" t="s">
        <v>60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hidden="1" x14ac:dyDescent="0.3">
      <c r="A159" s="7" t="s">
        <v>61</v>
      </c>
      <c r="B159" t="s">
        <v>62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hidden="1" x14ac:dyDescent="0.3">
      <c r="A160" t="s">
        <v>61</v>
      </c>
      <c r="B160" t="s">
        <v>62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hidden="1" x14ac:dyDescent="0.3">
      <c r="A161" t="s">
        <v>61</v>
      </c>
      <c r="B161" t="s">
        <v>62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hidden="1" x14ac:dyDescent="0.3">
      <c r="A162" t="s">
        <v>61</v>
      </c>
      <c r="B162" t="s">
        <v>62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hidden="1" x14ac:dyDescent="0.3">
      <c r="A163" t="s">
        <v>61</v>
      </c>
      <c r="B163" t="s">
        <v>62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hidden="1" x14ac:dyDescent="0.3">
      <c r="A164" t="s">
        <v>61</v>
      </c>
      <c r="B164" t="s">
        <v>62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hidden="1" x14ac:dyDescent="0.3">
      <c r="A165" t="s">
        <v>61</v>
      </c>
      <c r="B165" t="s">
        <v>62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hidden="1" x14ac:dyDescent="0.3">
      <c r="A166" t="s">
        <v>61</v>
      </c>
      <c r="B166" t="s">
        <v>62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hidden="1" x14ac:dyDescent="0.3">
      <c r="A167" t="s">
        <v>61</v>
      </c>
      <c r="B167" t="s">
        <v>62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hidden="1" x14ac:dyDescent="0.3">
      <c r="A168" t="s">
        <v>61</v>
      </c>
      <c r="B168" t="s">
        <v>62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hidden="1" x14ac:dyDescent="0.3">
      <c r="A169" t="s">
        <v>47</v>
      </c>
      <c r="B169" t="s">
        <v>63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hidden="1" x14ac:dyDescent="0.3">
      <c r="A170" t="s">
        <v>10</v>
      </c>
      <c r="B170" t="s">
        <v>64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hidden="1" x14ac:dyDescent="0.3">
      <c r="A171" t="s">
        <v>10</v>
      </c>
      <c r="B171" t="s">
        <v>64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3">
      <c r="A172" t="s">
        <v>12</v>
      </c>
      <c r="B172" t="s">
        <v>65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3">
      <c r="A173" t="s">
        <v>12</v>
      </c>
      <c r="B173" t="s">
        <v>65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3">
      <c r="A174" t="s">
        <v>12</v>
      </c>
      <c r="B174" t="s">
        <v>65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3">
      <c r="A175" t="s">
        <v>12</v>
      </c>
      <c r="B175" t="s">
        <v>65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3">
      <c r="A176" t="s">
        <v>12</v>
      </c>
      <c r="B176" t="s">
        <v>65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3">
      <c r="A177" t="s">
        <v>12</v>
      </c>
      <c r="B177" t="s">
        <v>65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90</v>
      </c>
      <c r="N177" s="5"/>
      <c r="O177" s="5"/>
    </row>
    <row r="178" spans="1:15" x14ac:dyDescent="0.3">
      <c r="A178" t="s">
        <v>12</v>
      </c>
      <c r="B178" t="s">
        <v>65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4" hidden="1" customHeight="1" x14ac:dyDescent="0.3">
      <c r="A179" t="s">
        <v>56</v>
      </c>
      <c r="B179" t="s">
        <v>66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hidden="1" customHeight="1" x14ac:dyDescent="0.3">
      <c r="A180" t="s">
        <v>56</v>
      </c>
      <c r="B180" t="s">
        <v>66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hidden="1" customHeight="1" x14ac:dyDescent="0.3">
      <c r="A181" t="s">
        <v>56</v>
      </c>
      <c r="B181" t="s">
        <v>66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4" hidden="1" customHeight="1" x14ac:dyDescent="0.3">
      <c r="A182" s="7" t="s">
        <v>67</v>
      </c>
      <c r="B182" t="s">
        <v>68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hidden="1" customHeight="1" x14ac:dyDescent="0.3">
      <c r="A183" t="s">
        <v>67</v>
      </c>
      <c r="B183" t="s">
        <v>68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hidden="1" x14ac:dyDescent="0.3">
      <c r="A184" t="s">
        <v>67</v>
      </c>
      <c r="B184" t="s">
        <v>68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hidden="1" x14ac:dyDescent="0.3">
      <c r="A185" t="s">
        <v>67</v>
      </c>
      <c r="B185" t="s">
        <v>68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4" hidden="1" customHeight="1" x14ac:dyDescent="0.3">
      <c r="A186" s="7" t="s">
        <v>14</v>
      </c>
      <c r="B186" t="s">
        <v>69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hidden="1" customHeight="1" x14ac:dyDescent="0.3">
      <c r="A187" t="s">
        <v>14</v>
      </c>
      <c r="B187" t="s">
        <v>69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hidden="1" x14ac:dyDescent="0.3">
      <c r="A188" t="s">
        <v>14</v>
      </c>
      <c r="B188" t="s">
        <v>69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hidden="1" x14ac:dyDescent="0.3">
      <c r="A189" s="7" t="s">
        <v>70</v>
      </c>
      <c r="B189" t="s">
        <v>71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hidden="1" x14ac:dyDescent="0.3">
      <c r="A190" t="s">
        <v>70</v>
      </c>
      <c r="B190" t="s">
        <v>71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hidden="1" x14ac:dyDescent="0.3">
      <c r="A191" t="s">
        <v>70</v>
      </c>
      <c r="B191" t="s">
        <v>71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hidden="1" x14ac:dyDescent="0.3">
      <c r="A192" t="s">
        <v>70</v>
      </c>
      <c r="B192" t="s">
        <v>71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hidden="1" x14ac:dyDescent="0.3">
      <c r="A193" t="s">
        <v>70</v>
      </c>
      <c r="B193" t="s">
        <v>71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hidden="1" x14ac:dyDescent="0.3">
      <c r="A194" t="s">
        <v>70</v>
      </c>
      <c r="B194" t="s">
        <v>71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hidden="1" x14ac:dyDescent="0.3">
      <c r="A195" t="s">
        <v>70</v>
      </c>
      <c r="B195" t="s">
        <v>71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hidden="1" x14ac:dyDescent="0.3">
      <c r="A196" t="s">
        <v>70</v>
      </c>
      <c r="B196" t="s">
        <v>71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hidden="1" x14ac:dyDescent="0.3">
      <c r="A197" t="s">
        <v>70</v>
      </c>
      <c r="B197" t="s">
        <v>71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hidden="1" x14ac:dyDescent="0.3">
      <c r="A198" t="s">
        <v>70</v>
      </c>
      <c r="B198" t="s">
        <v>71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hidden="1" x14ac:dyDescent="0.3">
      <c r="A199" t="s">
        <v>70</v>
      </c>
      <c r="B199" t="s">
        <v>71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hidden="1" x14ac:dyDescent="0.3">
      <c r="A200" t="s">
        <v>70</v>
      </c>
      <c r="B200" t="s">
        <v>71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hidden="1" x14ac:dyDescent="0.3">
      <c r="A201" t="s">
        <v>70</v>
      </c>
      <c r="B201" t="s">
        <v>71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hidden="1" x14ac:dyDescent="0.3">
      <c r="A202" t="s">
        <v>70</v>
      </c>
      <c r="B202" t="s">
        <v>71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hidden="1" x14ac:dyDescent="0.3">
      <c r="A203" t="s">
        <v>70</v>
      </c>
      <c r="B203" t="s">
        <v>71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hidden="1" x14ac:dyDescent="0.3">
      <c r="A204" t="s">
        <v>70</v>
      </c>
      <c r="B204" t="s">
        <v>71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hidden="1" x14ac:dyDescent="0.3">
      <c r="A205" t="s">
        <v>70</v>
      </c>
      <c r="B205" t="s">
        <v>71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hidden="1" x14ac:dyDescent="0.3">
      <c r="A206" t="s">
        <v>70</v>
      </c>
      <c r="B206" t="s">
        <v>71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hidden="1" x14ac:dyDescent="0.3">
      <c r="A207" t="s">
        <v>70</v>
      </c>
      <c r="B207" t="s">
        <v>71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hidden="1" x14ac:dyDescent="0.3">
      <c r="A208" t="s">
        <v>70</v>
      </c>
      <c r="B208" t="s">
        <v>71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hidden="1" x14ac:dyDescent="0.3">
      <c r="A209" s="7" t="s">
        <v>9</v>
      </c>
      <c r="B209" t="s">
        <v>72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hidden="1" x14ac:dyDescent="0.3">
      <c r="A210" t="s">
        <v>9</v>
      </c>
      <c r="B210" t="s">
        <v>72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hidden="1" x14ac:dyDescent="0.3">
      <c r="A211" t="s">
        <v>56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4" hidden="1" customHeight="1" x14ac:dyDescent="0.3">
      <c r="A212" t="s">
        <v>56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3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hidden="1" x14ac:dyDescent="0.3">
      <c r="A214" t="s">
        <v>10</v>
      </c>
      <c r="B214" t="s">
        <v>73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hidden="1" x14ac:dyDescent="0.3">
      <c r="A215" t="s">
        <v>10</v>
      </c>
      <c r="B215" t="s">
        <v>73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hidden="1" x14ac:dyDescent="0.3">
      <c r="A216" s="7" t="s">
        <v>22</v>
      </c>
      <c r="B216" t="s">
        <v>74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hidden="1" x14ac:dyDescent="0.3">
      <c r="A217" t="s">
        <v>22</v>
      </c>
      <c r="B217" t="s">
        <v>74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4" hidden="1" customHeight="1" x14ac:dyDescent="0.3">
      <c r="A218" t="s">
        <v>22</v>
      </c>
      <c r="B218" t="s">
        <v>75</v>
      </c>
      <c r="C218" s="2">
        <v>45901</v>
      </c>
      <c r="D218" s="2">
        <v>46447</v>
      </c>
      <c r="E218" s="3">
        <v>3357369403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hidden="1" customHeight="1" x14ac:dyDescent="0.3">
      <c r="A219" t="s">
        <v>22</v>
      </c>
      <c r="B219" t="s">
        <v>76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3">
      <c r="A220" t="s">
        <v>22</v>
      </c>
      <c r="B220" t="s">
        <v>77</v>
      </c>
      <c r="C220" s="2">
        <v>45888</v>
      </c>
      <c r="D220" s="2">
        <v>46100</v>
      </c>
      <c r="E220" s="3">
        <v>1783770000</v>
      </c>
      <c r="G220" s="3"/>
      <c r="H220" t="s">
        <v>78</v>
      </c>
      <c r="I220" s="2"/>
      <c r="N220" s="5"/>
      <c r="O220" s="5"/>
    </row>
    <row r="221" spans="1:15" ht="14.4" hidden="1" customHeight="1" x14ac:dyDescent="0.3">
      <c r="A221" t="s">
        <v>23</v>
      </c>
      <c r="B221" s="4" t="s">
        <v>79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hidden="1" customHeight="1" x14ac:dyDescent="0.3">
      <c r="A222" t="s">
        <v>23</v>
      </c>
      <c r="B222" t="s">
        <v>79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3.8" hidden="1" customHeight="1" x14ac:dyDescent="0.3">
      <c r="A223" t="s">
        <v>23</v>
      </c>
      <c r="B223" t="s">
        <v>79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hidden="1" x14ac:dyDescent="0.3">
      <c r="A224" t="s">
        <v>82</v>
      </c>
      <c r="B224" t="s">
        <v>83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hidden="1" x14ac:dyDescent="0.3">
      <c r="A225" t="s">
        <v>82</v>
      </c>
      <c r="B225" t="s">
        <v>83</v>
      </c>
      <c r="C225" s="2">
        <v>45867</v>
      </c>
      <c r="D225" s="2">
        <v>45959</v>
      </c>
      <c r="E225">
        <v>2425417371</v>
      </c>
      <c r="F225">
        <v>2</v>
      </c>
      <c r="G225" s="3">
        <v>727625209</v>
      </c>
      <c r="H225" t="s">
        <v>16</v>
      </c>
      <c r="I225" s="2">
        <v>45979</v>
      </c>
    </row>
    <row r="226" spans="1:9" hidden="1" x14ac:dyDescent="0.3">
      <c r="A226" t="s">
        <v>22</v>
      </c>
      <c r="B226" t="s">
        <v>84</v>
      </c>
      <c r="C226" s="2">
        <v>45888</v>
      </c>
      <c r="D226" s="2">
        <v>46100</v>
      </c>
      <c r="E226" s="5">
        <v>1783770000</v>
      </c>
      <c r="F226">
        <v>1</v>
      </c>
      <c r="G226" s="3">
        <v>1248639000</v>
      </c>
      <c r="H226" t="s">
        <v>16</v>
      </c>
      <c r="I226" s="2">
        <v>45919</v>
      </c>
    </row>
    <row r="227" spans="1:9" hidden="1" x14ac:dyDescent="0.3">
      <c r="A227" t="s">
        <v>22</v>
      </c>
      <c r="B227" t="s">
        <v>84</v>
      </c>
      <c r="C227" s="2">
        <v>45888</v>
      </c>
      <c r="D227" s="2">
        <v>46100</v>
      </c>
      <c r="E227" s="5">
        <v>1783770000</v>
      </c>
      <c r="F227">
        <v>2</v>
      </c>
      <c r="G227" s="3">
        <v>445942500</v>
      </c>
      <c r="H227" t="s">
        <v>16</v>
      </c>
      <c r="I227" s="2">
        <v>45931</v>
      </c>
    </row>
    <row r="228" spans="1:9" hidden="1" x14ac:dyDescent="0.3">
      <c r="A228" t="s">
        <v>9</v>
      </c>
      <c r="B228" t="s">
        <v>85</v>
      </c>
      <c r="C228" s="2">
        <v>45905</v>
      </c>
      <c r="D228" s="2">
        <v>46143</v>
      </c>
      <c r="E228" s="3">
        <v>1919004569</v>
      </c>
      <c r="F228">
        <v>1</v>
      </c>
      <c r="G228" s="3">
        <v>1004595000</v>
      </c>
      <c r="H228" t="s">
        <v>16</v>
      </c>
      <c r="I228" s="2">
        <v>45904</v>
      </c>
    </row>
    <row r="229" spans="1:9" hidden="1" x14ac:dyDescent="0.3">
      <c r="A229" t="s">
        <v>9</v>
      </c>
      <c r="B229" t="s">
        <v>85</v>
      </c>
      <c r="C229" s="2">
        <v>45905</v>
      </c>
      <c r="D229" s="2">
        <v>46143</v>
      </c>
      <c r="E229" s="3">
        <v>1919004569</v>
      </c>
      <c r="F229">
        <v>2</v>
      </c>
      <c r="G229" s="3">
        <v>245537802</v>
      </c>
      <c r="H229" t="s">
        <v>16</v>
      </c>
      <c r="I229" s="2">
        <v>45912</v>
      </c>
    </row>
    <row r="230" spans="1:9" hidden="1" x14ac:dyDescent="0.3">
      <c r="A230" t="s">
        <v>9</v>
      </c>
      <c r="B230" t="s">
        <v>85</v>
      </c>
      <c r="C230" s="2">
        <v>45905</v>
      </c>
      <c r="D230" s="2">
        <v>46143</v>
      </c>
      <c r="E230" s="3">
        <v>1919004569</v>
      </c>
      <c r="F230">
        <v>3</v>
      </c>
      <c r="G230" s="3">
        <v>204614835</v>
      </c>
      <c r="H230" t="s">
        <v>16</v>
      </c>
      <c r="I230" s="2"/>
    </row>
    <row r="231" spans="1:9" hidden="1" x14ac:dyDescent="0.3">
      <c r="A231" t="s">
        <v>56</v>
      </c>
      <c r="B231" t="s">
        <v>86</v>
      </c>
      <c r="C231" s="2">
        <v>45895</v>
      </c>
      <c r="D231" s="2">
        <f t="shared" ref="D231" si="1">C231+F231</f>
        <v>45896</v>
      </c>
      <c r="E231" s="3">
        <f>1677622937*1.11</f>
        <v>1862161460.0700002</v>
      </c>
      <c r="F231">
        <v>1</v>
      </c>
      <c r="G231" s="3">
        <v>1117296876</v>
      </c>
      <c r="H231" t="s">
        <v>16</v>
      </c>
      <c r="I231" s="2">
        <v>45924</v>
      </c>
    </row>
    <row r="232" spans="1:9" hidden="1" x14ac:dyDescent="0.3">
      <c r="A232" t="s">
        <v>56</v>
      </c>
      <c r="B232" t="s">
        <v>86</v>
      </c>
      <c r="C232" s="2">
        <v>45895</v>
      </c>
      <c r="D232" s="2">
        <f t="shared" ref="D232" si="2">C232+F232</f>
        <v>45897</v>
      </c>
      <c r="E232" s="3">
        <v>1862161460</v>
      </c>
      <c r="F232">
        <v>2</v>
      </c>
      <c r="G232" s="3">
        <v>279324219</v>
      </c>
      <c r="H232" t="s">
        <v>16</v>
      </c>
      <c r="I232" s="2">
        <v>45957</v>
      </c>
    </row>
    <row r="233" spans="1:9" hidden="1" x14ac:dyDescent="0.3">
      <c r="A233" t="s">
        <v>9</v>
      </c>
      <c r="B233" t="s">
        <v>87</v>
      </c>
      <c r="C233" s="2">
        <v>45923</v>
      </c>
      <c r="D233" s="2">
        <v>46084</v>
      </c>
      <c r="E233" s="3">
        <v>223217572.31999999</v>
      </c>
      <c r="F233">
        <v>1</v>
      </c>
      <c r="G233" s="3">
        <v>89287029</v>
      </c>
      <c r="H233" t="s">
        <v>16</v>
      </c>
      <c r="I233" s="2">
        <v>45925</v>
      </c>
    </row>
    <row r="234" spans="1:9" hidden="1" x14ac:dyDescent="0.3">
      <c r="A234" t="s">
        <v>9</v>
      </c>
      <c r="B234" t="s">
        <v>88</v>
      </c>
      <c r="C234" s="2">
        <v>45905</v>
      </c>
      <c r="D234" s="2">
        <v>46143</v>
      </c>
      <c r="E234" s="3">
        <v>285800380</v>
      </c>
      <c r="F234">
        <v>1</v>
      </c>
      <c r="H234" t="s">
        <v>78</v>
      </c>
    </row>
    <row r="235" spans="1:9" hidden="1" x14ac:dyDescent="0.3">
      <c r="A235" t="s">
        <v>9</v>
      </c>
      <c r="B235" t="s">
        <v>89</v>
      </c>
      <c r="C235" s="2">
        <v>45905</v>
      </c>
      <c r="D235" s="2">
        <v>46058</v>
      </c>
      <c r="E235" s="3">
        <v>479987896</v>
      </c>
      <c r="F235">
        <v>1</v>
      </c>
      <c r="G235" s="5">
        <v>77198636.310000002</v>
      </c>
      <c r="H235" t="s">
        <v>16</v>
      </c>
    </row>
    <row r="236" spans="1:9" hidden="1" x14ac:dyDescent="0.3">
      <c r="A236" t="s">
        <v>9</v>
      </c>
      <c r="B236" t="s">
        <v>89</v>
      </c>
      <c r="C236" s="2">
        <v>45905</v>
      </c>
      <c r="D236" s="2">
        <v>46058</v>
      </c>
      <c r="E236" s="3">
        <v>479987896</v>
      </c>
      <c r="F236">
        <v>2</v>
      </c>
      <c r="G236" s="3">
        <v>161107704</v>
      </c>
      <c r="H236" t="s">
        <v>16</v>
      </c>
      <c r="I236" s="2">
        <v>45912</v>
      </c>
    </row>
    <row r="237" spans="1:9" hidden="1" x14ac:dyDescent="0.3">
      <c r="A237" t="s">
        <v>9</v>
      </c>
      <c r="B237" t="s">
        <v>89</v>
      </c>
      <c r="C237" s="2">
        <v>45905</v>
      </c>
      <c r="D237" s="2">
        <v>46058</v>
      </c>
      <c r="E237" s="3">
        <v>479987896</v>
      </c>
      <c r="F237">
        <v>3</v>
      </c>
      <c r="G237" s="3">
        <v>116970846</v>
      </c>
      <c r="H237" t="s">
        <v>16</v>
      </c>
      <c r="I237" s="2">
        <v>45951</v>
      </c>
    </row>
    <row r="238" spans="1:9" ht="18.600000000000001" hidden="1" customHeight="1" x14ac:dyDescent="0.3">
      <c r="A238" t="s">
        <v>9</v>
      </c>
      <c r="B238" t="s">
        <v>99</v>
      </c>
      <c r="C238" s="2">
        <v>45905</v>
      </c>
      <c r="D238" s="2">
        <v>46058</v>
      </c>
      <c r="E238" s="3">
        <v>285800380</v>
      </c>
      <c r="F238">
        <v>1</v>
      </c>
      <c r="G238" s="5">
        <v>203503408.44</v>
      </c>
      <c r="H238" t="s">
        <v>16</v>
      </c>
      <c r="I238" s="2">
        <v>45824</v>
      </c>
    </row>
    <row r="239" spans="1:9" ht="18" hidden="1" customHeight="1" x14ac:dyDescent="0.3">
      <c r="A239" t="s">
        <v>9</v>
      </c>
      <c r="B239" t="s">
        <v>99</v>
      </c>
      <c r="C239" s="2">
        <v>45905</v>
      </c>
      <c r="D239" s="2">
        <v>46058</v>
      </c>
      <c r="E239" s="3">
        <v>285800380</v>
      </c>
      <c r="F239">
        <v>2</v>
      </c>
      <c r="G239" s="5">
        <v>60311839</v>
      </c>
      <c r="H239" t="s">
        <v>16</v>
      </c>
      <c r="I239" s="2">
        <v>45912</v>
      </c>
    </row>
    <row r="240" spans="1:9" hidden="1" x14ac:dyDescent="0.3">
      <c r="A240" t="s">
        <v>9</v>
      </c>
      <c r="B240" t="s">
        <v>99</v>
      </c>
      <c r="C240" s="2">
        <v>45905</v>
      </c>
      <c r="D240" s="2">
        <v>46058</v>
      </c>
      <c r="E240" s="3">
        <v>285800380</v>
      </c>
      <c r="F240">
        <v>3</v>
      </c>
      <c r="G240" s="3">
        <v>10710705</v>
      </c>
      <c r="H240" t="s">
        <v>16</v>
      </c>
      <c r="I240" s="2">
        <v>45931</v>
      </c>
    </row>
    <row r="241" spans="1:9" hidden="1" x14ac:dyDescent="0.3">
      <c r="A241" t="s">
        <v>91</v>
      </c>
      <c r="B241" t="s">
        <v>92</v>
      </c>
      <c r="C241" s="2">
        <v>45953</v>
      </c>
      <c r="D241" s="2">
        <v>46446</v>
      </c>
      <c r="E241" s="5">
        <v>76951511653</v>
      </c>
      <c r="F241">
        <v>1</v>
      </c>
      <c r="G241" s="3">
        <v>15390302331</v>
      </c>
      <c r="H241" t="s">
        <v>16</v>
      </c>
      <c r="I241" s="2">
        <v>45944</v>
      </c>
    </row>
    <row r="242" spans="1:9" hidden="1" x14ac:dyDescent="0.3">
      <c r="A242" t="s">
        <v>91</v>
      </c>
      <c r="B242" t="s">
        <v>92</v>
      </c>
      <c r="C242" s="2">
        <v>45953</v>
      </c>
      <c r="D242" s="2">
        <v>46446</v>
      </c>
      <c r="E242" s="5">
        <v>76951511653</v>
      </c>
      <c r="F242">
        <v>2</v>
      </c>
      <c r="G242" s="3">
        <v>4765328167</v>
      </c>
      <c r="H242" t="s">
        <v>16</v>
      </c>
      <c r="I242" s="2">
        <v>45989</v>
      </c>
    </row>
    <row r="243" spans="1:9" hidden="1" x14ac:dyDescent="0.3">
      <c r="A243" t="s">
        <v>91</v>
      </c>
      <c r="B243" t="s">
        <v>92</v>
      </c>
      <c r="C243" s="2">
        <v>45953</v>
      </c>
      <c r="D243" s="2">
        <v>46446</v>
      </c>
      <c r="E243" s="5">
        <v>76951511653</v>
      </c>
      <c r="F243">
        <v>3</v>
      </c>
      <c r="G243" s="3">
        <v>3750953341</v>
      </c>
      <c r="H243" t="s">
        <v>16</v>
      </c>
      <c r="I243" s="2">
        <v>45975</v>
      </c>
    </row>
    <row r="244" spans="1:9" hidden="1" x14ac:dyDescent="0.3">
      <c r="A244" t="s">
        <v>93</v>
      </c>
      <c r="B244" t="s">
        <v>94</v>
      </c>
      <c r="C244" s="2">
        <v>45923</v>
      </c>
      <c r="D244" s="2">
        <v>46468</v>
      </c>
      <c r="E244" s="5">
        <v>6328302500</v>
      </c>
      <c r="F244">
        <v>1</v>
      </c>
      <c r="G244" s="5">
        <v>1265660500</v>
      </c>
      <c r="H244" t="s">
        <v>16</v>
      </c>
      <c r="I244" s="2">
        <v>45945</v>
      </c>
    </row>
    <row r="245" spans="1:9" hidden="1" x14ac:dyDescent="0.3">
      <c r="A245" t="s">
        <v>93</v>
      </c>
      <c r="B245" t="s">
        <v>94</v>
      </c>
      <c r="C245" s="2">
        <v>45923</v>
      </c>
      <c r="D245" s="2">
        <v>46468</v>
      </c>
      <c r="E245" s="5">
        <v>6328302500</v>
      </c>
      <c r="F245">
        <v>2</v>
      </c>
      <c r="G245" s="5">
        <v>58681710</v>
      </c>
      <c r="H245" t="s">
        <v>16</v>
      </c>
      <c r="I245" s="2">
        <v>45961</v>
      </c>
    </row>
    <row r="246" spans="1:9" hidden="1" x14ac:dyDescent="0.3">
      <c r="A246" t="s">
        <v>93</v>
      </c>
      <c r="B246" t="s">
        <v>94</v>
      </c>
      <c r="C246" s="2">
        <v>45923</v>
      </c>
      <c r="D246" s="2">
        <v>46468</v>
      </c>
      <c r="E246" s="5">
        <v>6328302500</v>
      </c>
      <c r="F246">
        <v>3</v>
      </c>
      <c r="G246" s="3">
        <v>74085180</v>
      </c>
      <c r="H246" t="s">
        <v>16</v>
      </c>
      <c r="I246" s="2">
        <v>45972</v>
      </c>
    </row>
    <row r="247" spans="1:9" hidden="1" x14ac:dyDescent="0.3">
      <c r="A247" t="s">
        <v>93</v>
      </c>
      <c r="B247" t="s">
        <v>94</v>
      </c>
      <c r="C247" s="2">
        <v>45923</v>
      </c>
      <c r="D247" s="2">
        <v>46468</v>
      </c>
      <c r="E247" s="5">
        <v>6328302500</v>
      </c>
      <c r="F247">
        <v>4</v>
      </c>
      <c r="G247" s="3">
        <v>63223200</v>
      </c>
      <c r="H247" t="s">
        <v>16</v>
      </c>
      <c r="I247" s="2">
        <v>45979</v>
      </c>
    </row>
  </sheetData>
  <autoFilter ref="A1:I247" xr:uid="{00000000-0001-0000-0000-000000000000}">
    <filterColumn colId="0">
      <filters>
        <filter val="PT LAUTAN DELTAMAS SEJAHTERA"/>
      </filters>
    </filterColumn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C99F0-6C10-4209-995E-18F61514E18C}">
  <dimension ref="A1:F29"/>
  <sheetViews>
    <sheetView workbookViewId="0">
      <selection activeCell="D12" sqref="D12"/>
    </sheetView>
  </sheetViews>
  <sheetFormatPr defaultRowHeight="14.4" x14ac:dyDescent="0.3"/>
  <cols>
    <col min="1" max="1" width="27.88671875" customWidth="1"/>
    <col min="2" max="2" width="17.21875" bestFit="1" customWidth="1"/>
    <col min="4" max="4" width="15.33203125" customWidth="1"/>
    <col min="5" max="5" width="22.33203125" customWidth="1"/>
    <col min="6" max="6" width="16.77734375" customWidth="1"/>
  </cols>
  <sheetData>
    <row r="1" spans="1:6" x14ac:dyDescent="0.3">
      <c r="A1" t="s">
        <v>95</v>
      </c>
      <c r="B1" s="5">
        <f>SUMIFS(Sheet1!G:G,Sheet1!A:A,Lembar1!A1)</f>
        <v>36000000</v>
      </c>
      <c r="D1" t="s">
        <v>100</v>
      </c>
      <c r="E1" s="5">
        <f>SUMIFS('[1]DATA KONTRAK UPDATE'!$N:$N,'[1]DATA KONTRAK UPDATE'!$J:$J,D1)+SUMIFS('[1]DATA KONTRAK UPDATE'!$O:$O,'[1]DATA KONTRAK UPDATE'!$J:$J,D1)</f>
        <v>36000000</v>
      </c>
      <c r="F1" s="6">
        <f>B1-E1</f>
        <v>0</v>
      </c>
    </row>
    <row r="2" spans="1:6" x14ac:dyDescent="0.3">
      <c r="A2" t="s">
        <v>26</v>
      </c>
      <c r="B2" s="5">
        <f>SUMIFS(Sheet1!G:G,Sheet1!A:A,Lembar1!A2)</f>
        <v>658096800</v>
      </c>
      <c r="D2" t="s">
        <v>101</v>
      </c>
      <c r="E2" s="5">
        <f>SUMIFS('[1]DATA KONTRAK UPDATE'!$N:$N,'[1]DATA KONTRAK UPDATE'!$J:$J,D2)+SUMIFS('[1]DATA KONTRAK UPDATE'!$O:$O,'[1]DATA KONTRAK UPDATE'!$J:$J,D2)</f>
        <v>658096800</v>
      </c>
      <c r="F2" s="6">
        <f t="shared" ref="F2:F29" si="0">B2-E2</f>
        <v>0</v>
      </c>
    </row>
    <row r="3" spans="1:6" x14ac:dyDescent="0.3">
      <c r="A3" t="s">
        <v>28</v>
      </c>
      <c r="B3" s="5">
        <f>SUMIFS(Sheet1!G:G,Sheet1!A:A,Lembar1!A3)</f>
        <v>3006046500</v>
      </c>
      <c r="D3" t="s">
        <v>102</v>
      </c>
      <c r="E3" s="5">
        <f>SUMIFS('[1]DATA KONTRAK UPDATE'!$N:$N,'[1]DATA KONTRAK UPDATE'!$J:$J,D3)+SUMIFS('[1]DATA KONTRAK UPDATE'!$O:$O,'[1]DATA KONTRAK UPDATE'!$J:$J,D3)</f>
        <v>3006046500.0000005</v>
      </c>
      <c r="F3" s="6">
        <f t="shared" si="0"/>
        <v>0</v>
      </c>
    </row>
    <row r="4" spans="1:6" x14ac:dyDescent="0.3">
      <c r="A4" t="s">
        <v>10</v>
      </c>
      <c r="B4" s="5">
        <f>SUMIFS(Sheet1!G:G,Sheet1!A:A,Lembar1!A4)</f>
        <v>3579432376</v>
      </c>
      <c r="D4" t="s">
        <v>103</v>
      </c>
      <c r="E4" s="5">
        <f>SUMIFS('[1]DATA KONTRAK UPDATE'!$N:$N,'[1]DATA KONTRAK UPDATE'!$J:$J,D4)+SUMIFS('[1]DATA KONTRAK UPDATE'!$O:$O,'[1]DATA KONTRAK UPDATE'!$J:$J,D4)</f>
        <v>3579432376</v>
      </c>
      <c r="F4" s="6">
        <f t="shared" si="0"/>
        <v>0</v>
      </c>
    </row>
    <row r="5" spans="1:6" x14ac:dyDescent="0.3">
      <c r="A5" t="s">
        <v>32</v>
      </c>
      <c r="B5" s="5">
        <f>SUMIFS(Sheet1!G:G,Sheet1!A:A,Lembar1!A5)</f>
        <v>3749502907</v>
      </c>
      <c r="D5" t="s">
        <v>104</v>
      </c>
      <c r="E5" s="5">
        <f>SUMIFS('[1]DATA KONTRAK UPDATE'!$N:$N,'[1]DATA KONTRAK UPDATE'!$J:$J,D5)+SUMIFS('[1]DATA KONTRAK UPDATE'!$O:$O,'[1]DATA KONTRAK UPDATE'!$J:$J,D5)</f>
        <v>3749502907</v>
      </c>
      <c r="F5" s="6">
        <f t="shared" si="0"/>
        <v>0</v>
      </c>
    </row>
    <row r="6" spans="1:6" x14ac:dyDescent="0.3">
      <c r="A6" t="s">
        <v>8</v>
      </c>
      <c r="B6" s="5">
        <f>SUMIFS(Sheet1!G:G,Sheet1!A:A,Lembar1!A6)</f>
        <v>3260546319</v>
      </c>
      <c r="D6" t="s">
        <v>105</v>
      </c>
      <c r="E6" s="5">
        <f>SUMIFS('[1]DATA KONTRAK UPDATE'!$N:$N,'[1]DATA KONTRAK UPDATE'!$J:$J,D6)+SUMIFS('[1]DATA KONTRAK UPDATE'!$O:$O,'[1]DATA KONTRAK UPDATE'!$J:$J,D6)</f>
        <v>3260546319</v>
      </c>
      <c r="F6" s="6">
        <f t="shared" si="0"/>
        <v>0</v>
      </c>
    </row>
    <row r="7" spans="1:6" x14ac:dyDescent="0.3">
      <c r="A7" t="s">
        <v>11</v>
      </c>
      <c r="B7" s="5">
        <f>SUMIFS(Sheet1!G:G,Sheet1!A:A,Lembar1!A7)</f>
        <v>939093855</v>
      </c>
      <c r="D7" t="s">
        <v>106</v>
      </c>
      <c r="E7" s="5">
        <f>SUMIFS('[1]DATA KONTRAK UPDATE'!$N:$N,'[1]DATA KONTRAK UPDATE'!$J:$J,D7)+SUMIFS('[1]DATA KONTRAK UPDATE'!$O:$O,'[1]DATA KONTRAK UPDATE'!$J:$J,D7)</f>
        <v>939093855</v>
      </c>
      <c r="F7" s="6">
        <f t="shared" si="0"/>
        <v>0</v>
      </c>
    </row>
    <row r="8" spans="1:6" x14ac:dyDescent="0.3">
      <c r="A8" t="s">
        <v>15</v>
      </c>
      <c r="B8" s="5">
        <f>SUMIFS(Sheet1!G:G,Sheet1!A:A,Lembar1!A8)</f>
        <v>7052724498</v>
      </c>
      <c r="D8" t="s">
        <v>107</v>
      </c>
      <c r="E8" s="5">
        <f>SUMIFS('[1]DATA KONTRAK UPDATE'!$N:$N,'[1]DATA KONTRAK UPDATE'!$J:$J,D8)+SUMIFS('[1]DATA KONTRAK UPDATE'!$O:$O,'[1]DATA KONTRAK UPDATE'!$J:$J,D8)</f>
        <v>7052724498</v>
      </c>
      <c r="F8" s="6">
        <f t="shared" si="0"/>
        <v>0</v>
      </c>
    </row>
    <row r="9" spans="1:6" x14ac:dyDescent="0.3">
      <c r="A9" t="s">
        <v>40</v>
      </c>
      <c r="B9" s="5">
        <f>SUMIFS(Sheet1!G:G,Sheet1!A:A,Lembar1!A9)</f>
        <v>7694187000</v>
      </c>
      <c r="D9" t="s">
        <v>108</v>
      </c>
      <c r="E9" s="5">
        <f>SUMIFS('[1]DATA KONTRAK UPDATE'!$N:$N,'[1]DATA KONTRAK UPDATE'!$J:$J,D9)+SUMIFS('[1]DATA KONTRAK UPDATE'!$O:$O,'[1]DATA KONTRAK UPDATE'!$J:$J,D9)</f>
        <v>7694187000</v>
      </c>
      <c r="F9" s="6">
        <f t="shared" si="0"/>
        <v>0</v>
      </c>
    </row>
    <row r="10" spans="1:6" x14ac:dyDescent="0.3">
      <c r="A10" t="s">
        <v>7</v>
      </c>
      <c r="B10" s="5">
        <f>SUMIFS(Sheet1!G:G,Sheet1!A:A,Lembar1!A10)</f>
        <v>55743328288</v>
      </c>
      <c r="D10" t="s">
        <v>109</v>
      </c>
      <c r="E10" s="5">
        <f>SUMIFS('[1]DATA KONTRAK UPDATE'!$N:$N,'[1]DATA KONTRAK UPDATE'!$J:$J,D10)+SUMIFS('[1]DATA KONTRAK UPDATE'!$O:$O,'[1]DATA KONTRAK UPDATE'!$J:$J,D10)</f>
        <v>2296247653</v>
      </c>
      <c r="F10" s="6">
        <f>B10-E11</f>
        <v>0</v>
      </c>
    </row>
    <row r="11" spans="1:6" x14ac:dyDescent="0.3">
      <c r="A11" t="s">
        <v>13</v>
      </c>
      <c r="B11" s="5">
        <f>SUMIFS(Sheet1!G:G,Sheet1!A:A,Lembar1!A11)</f>
        <v>2296247653</v>
      </c>
      <c r="D11" t="s">
        <v>110</v>
      </c>
      <c r="E11" s="5">
        <f>SUMIFS('[1]DATA KONTRAK UPDATE'!$N:$N,'[1]DATA KONTRAK UPDATE'!$J:$J,D11)+SUMIFS('[1]DATA KONTRAK UPDATE'!$O:$O,'[1]DATA KONTRAK UPDATE'!$J:$J,D11)</f>
        <v>55743328288</v>
      </c>
      <c r="F11" s="6">
        <f>B11-E10</f>
        <v>0</v>
      </c>
    </row>
    <row r="12" spans="1:6" x14ac:dyDescent="0.3">
      <c r="A12" t="s">
        <v>12</v>
      </c>
      <c r="B12" s="5">
        <v>8789692671</v>
      </c>
      <c r="D12" t="s">
        <v>111</v>
      </c>
      <c r="E12" s="5">
        <f>SUMIFS('[1]DATA KONTRAK UPDATE'!$N:$N,'[1]DATA KONTRAK UPDATE'!$J:$J,D12)+SUMIFS('[1]DATA KONTRAK UPDATE'!$O:$O,'[1]DATA KONTRAK UPDATE'!$J:$J,D12)</f>
        <v>8789692671</v>
      </c>
      <c r="F12" s="6">
        <f>B12-E12</f>
        <v>0</v>
      </c>
    </row>
    <row r="13" spans="1:6" x14ac:dyDescent="0.3">
      <c r="A13" t="s">
        <v>9</v>
      </c>
      <c r="B13" s="5">
        <f>SUMIFS(Sheet1!G:G,Sheet1!A:A,Lembar1!A13)</f>
        <v>5317285627.75</v>
      </c>
      <c r="D13" t="s">
        <v>112</v>
      </c>
      <c r="E13" s="5">
        <f>SUMIFS('[1]DATA KONTRAK UPDATE'!$N:$N,'[1]DATA KONTRAK UPDATE'!$J:$J,D13)+SUMIFS('[1]DATA KONTRAK UPDATE'!$O:$O,'[1]DATA KONTRAK UPDATE'!$J:$J,D13)</f>
        <v>5317285628</v>
      </c>
      <c r="F13" s="6">
        <f t="shared" si="0"/>
        <v>-0.25</v>
      </c>
    </row>
    <row r="14" spans="1:6" x14ac:dyDescent="0.3">
      <c r="A14" t="s">
        <v>45</v>
      </c>
      <c r="B14" s="5">
        <f>SUMIFS(Sheet1!G:G,Sheet1!A:A,Lembar1!A14)</f>
        <v>57165000</v>
      </c>
      <c r="D14" t="s">
        <v>113</v>
      </c>
      <c r="E14" s="5">
        <f>SUMIFS('[1]DATA KONTRAK UPDATE'!$N:$N,'[1]DATA KONTRAK UPDATE'!$J:$J,D14)+SUMIFS('[1]DATA KONTRAK UPDATE'!$O:$O,'[1]DATA KONTRAK UPDATE'!$J:$J,D14)</f>
        <v>57165000</v>
      </c>
      <c r="F14" s="6">
        <f t="shared" si="0"/>
        <v>0</v>
      </c>
    </row>
    <row r="15" spans="1:6" x14ac:dyDescent="0.3">
      <c r="A15" t="s">
        <v>47</v>
      </c>
      <c r="B15" s="5">
        <f>SUMIFS(Sheet1!G:G,Sheet1!A:A,Lembar1!A15)</f>
        <v>386737800</v>
      </c>
      <c r="D15" t="s">
        <v>114</v>
      </c>
      <c r="E15" s="5">
        <f>SUMIFS('[1]DATA KONTRAK UPDATE'!$N:$N,'[1]DATA KONTRAK UPDATE'!$J:$J,D15)+SUMIFS('[1]DATA KONTRAK UPDATE'!$O:$O,'[1]DATA KONTRAK UPDATE'!$J:$J,D15)</f>
        <v>386737800</v>
      </c>
      <c r="F15" s="6">
        <f t="shared" si="0"/>
        <v>0</v>
      </c>
    </row>
    <row r="16" spans="1:6" x14ac:dyDescent="0.3">
      <c r="A16" t="s">
        <v>49</v>
      </c>
      <c r="B16" s="5">
        <f>SUMIFS(Sheet1!G:G,Sheet1!A:A,Lembar1!A16)</f>
        <v>408000000</v>
      </c>
      <c r="D16" t="s">
        <v>115</v>
      </c>
      <c r="E16" s="5">
        <f>SUMIFS('[1]DATA KONTRAK UPDATE'!$N:$N,'[1]DATA KONTRAK UPDATE'!$J:$J,D16)+SUMIFS('[1]DATA KONTRAK UPDATE'!$O:$O,'[1]DATA KONTRAK UPDATE'!$J:$J,D16)</f>
        <v>408000000</v>
      </c>
      <c r="F16" s="6">
        <f t="shared" si="0"/>
        <v>0</v>
      </c>
    </row>
    <row r="17" spans="1:6" x14ac:dyDescent="0.3">
      <c r="A17" t="s">
        <v>51</v>
      </c>
      <c r="B17" s="5">
        <f>SUMIFS(Sheet1!G:G,Sheet1!A:A,Lembar1!A17)</f>
        <v>18333333</v>
      </c>
      <c r="D17" t="s">
        <v>116</v>
      </c>
      <c r="E17" s="5">
        <f>SUMIFS('[1]DATA KONTRAK UPDATE'!$N:$N,'[1]DATA KONTRAK UPDATE'!$J:$J,D17)+SUMIFS('[1]DATA KONTRAK UPDATE'!$O:$O,'[1]DATA KONTRAK UPDATE'!$J:$J,D17)</f>
        <v>18333333</v>
      </c>
      <c r="F17" s="6">
        <f t="shared" si="0"/>
        <v>0</v>
      </c>
    </row>
    <row r="18" spans="1:6" x14ac:dyDescent="0.3">
      <c r="A18" t="s">
        <v>53</v>
      </c>
      <c r="B18" s="5">
        <f>SUMIFS(Sheet1!G:G,Sheet1!A:A,Lembar1!A18)</f>
        <v>65000000</v>
      </c>
      <c r="D18" t="s">
        <v>117</v>
      </c>
      <c r="E18" s="5">
        <f>SUMIFS('[1]DATA KONTRAK UPDATE'!$N:$N,'[1]DATA KONTRAK UPDATE'!$J:$J,D18)+SUMIFS('[1]DATA KONTRAK UPDATE'!$O:$O,'[1]DATA KONTRAK UPDATE'!$J:$J,D18)</f>
        <v>65000000</v>
      </c>
      <c r="F18" s="6">
        <f t="shared" si="0"/>
        <v>0</v>
      </c>
    </row>
    <row r="19" spans="1:6" x14ac:dyDescent="0.3">
      <c r="A19" t="s">
        <v>24</v>
      </c>
      <c r="B19" s="5">
        <f>SUMIFS(Sheet1!G:G,Sheet1!A:A,Lembar1!A19)</f>
        <v>11100000</v>
      </c>
      <c r="D19" t="s">
        <v>118</v>
      </c>
      <c r="E19" s="5">
        <f>SUMIFS('[1]DATA KONTRAK UPDATE'!$N:$N,'[1]DATA KONTRAK UPDATE'!$J:$J,D19)+SUMIFS('[1]DATA KONTRAK UPDATE'!$O:$O,'[1]DATA KONTRAK UPDATE'!$J:$J,D19)</f>
        <v>3017951611</v>
      </c>
      <c r="F19" s="6">
        <f>B19-E27</f>
        <v>0</v>
      </c>
    </row>
    <row r="20" spans="1:6" x14ac:dyDescent="0.3">
      <c r="A20" t="s">
        <v>56</v>
      </c>
      <c r="B20" s="5">
        <f>SUMIFS(Sheet1!G:G,Sheet1!A:A,Lembar1!A20)</f>
        <v>3017951611</v>
      </c>
      <c r="D20" t="s">
        <v>119</v>
      </c>
      <c r="E20" s="5">
        <f>SUMIFS('[1]DATA KONTRAK UPDATE'!$N:$N,'[1]DATA KONTRAK UPDATE'!$J:$J,D20)+SUMIFS('[1]DATA KONTRAK UPDATE'!$O:$O,'[1]DATA KONTRAK UPDATE'!$J:$J,D20)</f>
        <v>185300000</v>
      </c>
      <c r="F20" s="6">
        <f>B20-E19</f>
        <v>0</v>
      </c>
    </row>
    <row r="21" spans="1:6" x14ac:dyDescent="0.3">
      <c r="A21" t="s">
        <v>61</v>
      </c>
      <c r="B21" s="5">
        <f>SUMIFS(Sheet1!G:G,Sheet1!A:A,Lembar1!A21)</f>
        <v>185300000</v>
      </c>
      <c r="D21" t="s">
        <v>120</v>
      </c>
      <c r="E21" s="5">
        <f>SUMIFS('[1]DATA KONTRAK UPDATE'!$N:$N,'[1]DATA KONTRAK UPDATE'!$J:$J,D21)+SUMIFS('[1]DATA KONTRAK UPDATE'!$O:$O,'[1]DATA KONTRAK UPDATE'!$J:$J,D21)</f>
        <v>344444444</v>
      </c>
      <c r="F21" s="6">
        <f>B21-E20</f>
        <v>0</v>
      </c>
    </row>
    <row r="22" spans="1:6" x14ac:dyDescent="0.3">
      <c r="A22" t="s">
        <v>67</v>
      </c>
      <c r="B22" s="5">
        <f>SUMIFS(Sheet1!G:G,Sheet1!A:A,Lembar1!A22)</f>
        <v>344444444</v>
      </c>
      <c r="D22" t="s">
        <v>121</v>
      </c>
      <c r="E22" s="5">
        <f>SUMIFS('[1]DATA KONTRAK UPDATE'!$N:$N,'[1]DATA KONTRAK UPDATE'!$J:$J,D22)+SUMIFS('[1]DATA KONTRAK UPDATE'!$O:$O,'[1]DATA KONTRAK UPDATE'!$J:$J,D22)</f>
        <v>145543755</v>
      </c>
      <c r="F22" s="6">
        <f>B22-E21</f>
        <v>0</v>
      </c>
    </row>
    <row r="23" spans="1:6" x14ac:dyDescent="0.3">
      <c r="A23" t="s">
        <v>14</v>
      </c>
      <c r="B23" s="5">
        <f>SUMIFS(Sheet1!G:G,Sheet1!A:A,Lembar1!A23)</f>
        <v>145543755</v>
      </c>
      <c r="D23" t="s">
        <v>122</v>
      </c>
      <c r="E23" s="5">
        <f>SUMIFS('[1]DATA KONTRAK UPDATE'!$N:$N,'[1]DATA KONTRAK UPDATE'!$J:$J,D23)+SUMIFS('[1]DATA KONTRAK UPDATE'!$O:$O,'[1]DATA KONTRAK UPDATE'!$J:$J,D23)</f>
        <v>2416173507</v>
      </c>
      <c r="F23" s="6">
        <f>B23-E22</f>
        <v>0</v>
      </c>
    </row>
    <row r="24" spans="1:6" x14ac:dyDescent="0.3">
      <c r="A24" t="s">
        <v>70</v>
      </c>
      <c r="B24" s="5">
        <f>SUMIFS(Sheet1!G:G,Sheet1!A:A,Lembar1!A24)</f>
        <v>2416173507</v>
      </c>
      <c r="D24" t="s">
        <v>123</v>
      </c>
      <c r="E24" s="5">
        <f>SUMIFS('[1]DATA KONTRAK UPDATE'!$N:$N,'[1]DATA KONTRAK UPDATE'!$J:$J,D24)+SUMIFS('[1]DATA KONTRAK UPDATE'!$O:$O,'[1]DATA KONTRAK UPDATE'!$J:$J,D24)</f>
        <v>3869026115</v>
      </c>
      <c r="F24" s="6">
        <f>B24-E23</f>
        <v>0</v>
      </c>
    </row>
    <row r="25" spans="1:6" x14ac:dyDescent="0.3">
      <c r="A25" t="s">
        <v>22</v>
      </c>
      <c r="B25" s="5">
        <f>SUMIFS(Sheet1!G:G,Sheet1!A:A,Lembar1!A25)</f>
        <v>3869026115</v>
      </c>
      <c r="D25" t="s">
        <v>124</v>
      </c>
      <c r="E25" s="5">
        <f>SUMIFS('[1]DATA KONTRAK UPDATE'!$N:$N,'[1]DATA KONTRAK UPDATE'!$J:$J,D25)+SUMIFS('[1]DATA KONTRAK UPDATE'!$O:$O,'[1]DATA KONTRAK UPDATE'!$J:$J,D25)</f>
        <v>14239617744</v>
      </c>
      <c r="F25" s="6">
        <f>B25-E24</f>
        <v>0</v>
      </c>
    </row>
    <row r="26" spans="1:6" x14ac:dyDescent="0.3">
      <c r="A26" t="s">
        <v>23</v>
      </c>
      <c r="B26" s="5">
        <f>SUMIFS(Sheet1!G:G,Sheet1!A:A,Lembar1!A26)</f>
        <v>14239617744</v>
      </c>
      <c r="D26" t="s">
        <v>125</v>
      </c>
      <c r="E26" s="5">
        <f>SUMIFS('[1]DATA KONTRAK UPDATE'!$N:$N,'[1]DATA KONTRAK UPDATE'!$J:$J,D26)+SUMIFS('[1]DATA KONTRAK UPDATE'!$O:$O,'[1]DATA KONTRAK UPDATE'!$J:$J,D26)</f>
        <v>1455250420</v>
      </c>
      <c r="F26" s="6">
        <f>B26-E25</f>
        <v>0</v>
      </c>
    </row>
    <row r="27" spans="1:6" x14ac:dyDescent="0.3">
      <c r="A27" t="s">
        <v>82</v>
      </c>
      <c r="B27" s="5">
        <f>SUMIFS(Sheet1!G:G,Sheet1!A:A,Lembar1!A27)</f>
        <v>1455250420</v>
      </c>
      <c r="D27" t="s">
        <v>126</v>
      </c>
      <c r="E27" s="5">
        <f>SUMIFS('[1]DATA KONTRAK UPDATE'!$N:$N,'[1]DATA KONTRAK UPDATE'!$J:$J,D27)+SUMIFS('[1]DATA KONTRAK UPDATE'!$O:$O,'[1]DATA KONTRAK UPDATE'!$J:$J,D27)</f>
        <v>11100000.000000002</v>
      </c>
      <c r="F27" s="6">
        <f>B27-E26</f>
        <v>0</v>
      </c>
    </row>
    <row r="28" spans="1:6" x14ac:dyDescent="0.3">
      <c r="A28" t="s">
        <v>91</v>
      </c>
      <c r="B28" s="5">
        <f>SUMIFS(Sheet1!G:G,Sheet1!A:A,Lembar1!A28)</f>
        <v>23906583839</v>
      </c>
      <c r="D28" t="s">
        <v>127</v>
      </c>
      <c r="E28" s="5">
        <f>SUMIFS('[1]DATA KONTRAK UPDATE'!$N:$N,'[1]DATA KONTRAK UPDATE'!$J:$J,D28)+SUMIFS('[1]DATA KONTRAK UPDATE'!$O:$O,'[1]DATA KONTRAK UPDATE'!$J:$J,D28)</f>
        <v>23906583839</v>
      </c>
      <c r="F28" s="6">
        <f t="shared" si="0"/>
        <v>0</v>
      </c>
    </row>
    <row r="29" spans="1:6" x14ac:dyDescent="0.3">
      <c r="A29" t="s">
        <v>93</v>
      </c>
      <c r="B29" s="5">
        <f>SUMIFS(Sheet1!G:G,Sheet1!A:A,Lembar1!A29)</f>
        <v>1461650590</v>
      </c>
      <c r="D29" t="s">
        <v>128</v>
      </c>
      <c r="E29" s="5">
        <f>SUMIFS('[1]DATA KONTRAK UPDATE'!$N:$N,'[1]DATA KONTRAK UPDATE'!$J:$J,D29)+SUMIFS('[1]DATA KONTRAK UPDATE'!$O:$O,'[1]DATA KONTRAK UPDATE'!$J:$J,D29)</f>
        <v>1461650590</v>
      </c>
      <c r="F29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Finance-INA</cp:lastModifiedBy>
  <dcterms:created xsi:type="dcterms:W3CDTF">2025-06-03T07:02:14Z</dcterms:created>
  <dcterms:modified xsi:type="dcterms:W3CDTF">2025-12-12T05:06:15Z</dcterms:modified>
</cp:coreProperties>
</file>