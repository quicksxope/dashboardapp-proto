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user/Downloads/"/>
    </mc:Choice>
  </mc:AlternateContent>
  <xr:revisionPtr revIDLastSave="0" documentId="13_ncr:1_{5AC101A5-AB8B-1847-B0F8-F0441145AF20}" xr6:coauthVersionLast="47" xr6:coauthVersionMax="47" xr10:uidLastSave="{00000000-0000-0000-0000-000000000000}"/>
  <bookViews>
    <workbookView xWindow="0" yWindow="500" windowWidth="23260" windowHeight="124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Sheet1!$A$1:$I$239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9" i="1" l="1"/>
  <c r="A4" i="2"/>
  <c r="A8" i="2"/>
  <c r="D230" i="1"/>
  <c r="D229" i="1" l="1"/>
  <c r="E219" i="1" l="1"/>
  <c r="E215" i="1"/>
  <c r="E214" i="1"/>
  <c r="E140" i="1"/>
  <c r="E139" i="1"/>
  <c r="G140" i="1" s="1"/>
  <c r="G139" i="1" l="1"/>
</calcChain>
</file>

<file path=xl/sharedStrings.xml><?xml version="1.0" encoding="utf-8"?>
<sst xmlns="http://schemas.openxmlformats.org/spreadsheetml/2006/main" count="721" uniqueCount="97">
  <si>
    <t>VENDOR</t>
  </si>
  <si>
    <t>START_DATE</t>
  </si>
  <si>
    <t>END_DATE</t>
  </si>
  <si>
    <t>TOTAL_CONTRACT_VALUE</t>
  </si>
  <si>
    <t>TERM_NO</t>
  </si>
  <si>
    <t>AMOUNT</t>
  </si>
  <si>
    <t>STATUS</t>
  </si>
  <si>
    <t>KSO PRIMA DWI SEJAHTERA</t>
  </si>
  <si>
    <t>PT ATRYA TEKNIKA KONSULINDO</t>
  </si>
  <si>
    <t>PT EISE BUMI SEJAHTERA</t>
  </si>
  <si>
    <t>PT ENVITEK INDONESIA JAYA</t>
  </si>
  <si>
    <t>PT GLOBE ENERGI INDONESIA</t>
  </si>
  <si>
    <t>PT LAUTAN DELTAMAS SEJAHTERA</t>
  </si>
  <si>
    <t>PT PRIMA DWI MITRA</t>
  </si>
  <si>
    <t>PT Realis Surya Brahmesta</t>
  </si>
  <si>
    <t>PT TOYASAE BERKAH ABADI</t>
  </si>
  <si>
    <t>Paid</t>
  </si>
  <si>
    <t>CONTRACT_STATUS</t>
  </si>
  <si>
    <t>DED</t>
  </si>
  <si>
    <t>Pengadaan dan Pemasangan Cubicle</t>
  </si>
  <si>
    <t>Penyambungan Daya 1.110 kVA</t>
  </si>
  <si>
    <t>PEKERJAAN SALURAN DRAINASE JALAN AKSES TAMBAK UDANG SUMBAWA</t>
  </si>
  <si>
    <t>PT MEGA ARTHA ANANTA</t>
  </si>
  <si>
    <t>PT PARAHITA INTI RAYA</t>
  </si>
  <si>
    <t>KKA ARYA BAGIASTRA</t>
  </si>
  <si>
    <t>DATE</t>
  </si>
  <si>
    <t>PT Mipcon Konsultan Utama</t>
  </si>
  <si>
    <t>Jasa Soil Test dan Topografi Darat &amp; Laut Sumbawa</t>
  </si>
  <si>
    <t>PT ATRYA SWASCIPTA REKAYASA</t>
  </si>
  <si>
    <t>Geolistrik</t>
  </si>
  <si>
    <t>FEED</t>
  </si>
  <si>
    <t>JASA PENYUSUNAN DOKUMEN UKL (UPAYA PENGELOLAAN LINGKUNGAN) UPL (UPAYA PEMANTAUAN LINGKUNGAN) &amp; PERSETUJUAN LINGKUNGAN TAMBAK UDANG DI SUMBAWA</t>
  </si>
  <si>
    <t>PT ADONARA BAKTI BANGSA</t>
  </si>
  <si>
    <t>PEKERJAAN JASA OPERASIONAL TAMBAK UDANG DI SUMBAWA &amp; KANTOR BALI</t>
  </si>
  <si>
    <t>PENDAMPING TENDER</t>
  </si>
  <si>
    <t>PENGAWAS PEMBANGUNAN</t>
  </si>
  <si>
    <t>JASA PENGURUSAN PERSETUJUAN BANGUNAN GEDUNG (PBG) DAN SERTIFIKAT LAIK FUNGSI (SLF) TAMBAK UDANG DI SUMBAWA</t>
  </si>
  <si>
    <t>JASA PENGADAAN POMPA</t>
  </si>
  <si>
    <t>JASA INSTALASI POMPA AIR DI SUMBAWA</t>
  </si>
  <si>
    <t>JASA INSTALASI LANJUTAN POMPA AIR DI SUMBAWA</t>
  </si>
  <si>
    <t>PT A VAN KAICK INDONESIA</t>
  </si>
  <si>
    <t>JASA PENGADAAN GENERATOR SET (GENSET) DI SUMBAWA</t>
  </si>
  <si>
    <t>JASA TENAGA AHLI</t>
  </si>
  <si>
    <t>JASA INSTALASI GENSET</t>
  </si>
  <si>
    <t>PEKERJAAN PROYEK PEMBANGUNAN TAMBAK UDANG SUMBAWA (BANGUNAN FASILITAS UTAMA TAHAP 1A)</t>
  </si>
  <si>
    <t>PEKERJAAN PROYEK PEMBANGUNAN TAMBAK UDANG 1B</t>
  </si>
  <si>
    <t>PEKERJAAN PROYEK PEMBANGUNAN TAMBAK UDANG SUMBAWA FASILITAS PENUNJANG (PRIVATE HOUSE, GUEST HOUSE, GUARD HOUSE 1, GUARD HOUSE 2, DAN MOSQUE)</t>
  </si>
  <si>
    <t>LMATS CONSULTING</t>
  </si>
  <si>
    <t>PERJANJIAN JASA KONSULTASI PAJAK, PEMENUHAN KEWAJIBAN PAJAK MASA &amp; JASA PEMBUATAN SPT TAHUNAN</t>
  </si>
  <si>
    <t>PT INCA MANDIRI INTERNUSA</t>
  </si>
  <si>
    <t>PERJANJIAN SEWA MENYEWA KANTOR</t>
  </si>
  <si>
    <t>ADY TULUS SUCIPTO</t>
  </si>
  <si>
    <t>PERJANJIAN SEWA MENYEWA RUMAH SUMBAWA</t>
  </si>
  <si>
    <t>ESTER HENDRA</t>
  </si>
  <si>
    <t>PERJANJIAN SEWA MENYEWA RUMAH LUNYUK</t>
  </si>
  <si>
    <t>KAP BUDIARTHA &amp; ANGGIRIAWAN</t>
  </si>
  <si>
    <t>AUDIT LAPORAN KEUANGAN TAHUN 2023 DAN 2024</t>
  </si>
  <si>
    <t>JASA PENGURUSAN CLEARANCE UNTUK KEGIATAN LAUT</t>
  </si>
  <si>
    <t>PT AFNAN DEVA TEKHNIK</t>
  </si>
  <si>
    <t>PEKERJAAN PENYAMBUNGAN DAYA LISTRIK 197.000 VA, PENERBITAN SERTIFIKAT LAIK OPERASI &amp; PENERBITAN NOMOR IDENTITAS INSTALASI TENAGA LISTRIK TAMBAK UDANG SUMBAWA</t>
  </si>
  <si>
    <t>PENDAMPINGAN PENGURUSAN IZIN AIR BAWAH TANAH (ABT) TAMBAK UDANG SUMBAWA</t>
  </si>
  <si>
    <t>PENDAMPINGAN PENGURUSAN IZIN OPERASIONAL TAMBAK UDANG SUMBAWA</t>
  </si>
  <si>
    <t>JASA PENGADAAN KONSUMSI STAFF DAN KARYAWAN TAMBAK UDANG SUMBAWA</t>
  </si>
  <si>
    <t>CV ALFI SAMAWA RENT CAR</t>
  </si>
  <si>
    <t>PERJANJIAN SEWA MENYEWA KENDARAAN RODA EMPAT BESERTA LAYANAN DRIVER</t>
  </si>
  <si>
    <t>PERJANJIAN SEWA MENYEWA KENDARAAN RODA EMPAT (SUZUKI NOPOL DK 1839 FCN)</t>
  </si>
  <si>
    <t>PENGURUSAN PERSETUJUAN UPAYA PENGELOLAAN LINGKUNGAN HIDUP &amp; UPAYA PEMANTAUAN LINGKUNGAN HIDUP (UKL-UPL) LAUT SERTA PERIZINAN PEMANFAATAN AIR LAUT SELAIN ENERGI (ALSE) TAMBAK UDANG SUMBAWA</t>
  </si>
  <si>
    <t>PEKERJAAN PROYEK PEMBANGUNAN TAMBAK UDANG SUMBAWA (BANGUNAN FASILITAS PENUNJANG 1B)</t>
  </si>
  <si>
    <t>PEKERJAAN PENGADAAN DAN INSTALASI PENERANGAN JALAN UMUM (PJU) TAMBAK UDANG SUMBAWA</t>
  </si>
  <si>
    <t>I KETUT DENI GUSTARIANA</t>
  </si>
  <si>
    <t>Sewa Ruko Teuku Umar</t>
  </si>
  <si>
    <t>Pekerjaan Renovasi Kantor Di Teuku Umar</t>
  </si>
  <si>
    <t>PT SAPODIA CAHAYA BERSAMA</t>
  </si>
  <si>
    <t>PENGADAAN BARANG DAN JASA SERTA LAYANAN PENDUKUNG OPERASIONAL KANTOR</t>
  </si>
  <si>
    <t>PEKERJAAN PROYEK PEMBANGUNAN POS PANGKALAN TENTARA NASIONAL INDONESIA ANGKATAN LAUT MATARAM DI TAMBAK UDANG SUMBAWA</t>
  </si>
  <si>
    <t>PENYUSUNAN LAPORAN MONITORING UPAYA PENGELOLAAN LINGKUNGAN &amp; UPAYA PEMANTAUAN LINGKUNGAN (UKL-UPL) 2 (DUA) SEMESTER SERTA LAPORAN PERSETUJUAN KESESUAIAN KEGIATAN PEMANFAATAN RUANG LAUT (PKKPRL)TAMBAK UDANG SUMBAWA</t>
  </si>
  <si>
    <t>PEKERJAAN PAGAR PANEL BLOK 8 TAMBAK UDANG SUMBAWA</t>
  </si>
  <si>
    <t>Pemasangan Panel LVMDP, MVMDP, DC Control Panel dan Kabel</t>
  </si>
  <si>
    <t>PEKERJAAN PAGAR PANEL AREA TAHAP 1B TAMBAK UDANG SUMBAWA</t>
  </si>
  <si>
    <t>PEKERJAAN CUT &amp; FILL JALAN AKSES OFFSHORE DAN JALAN AKSES IBADAH WARGA</t>
  </si>
  <si>
    <t>Pending</t>
  </si>
  <si>
    <t>Pekerjaan Pembangunan Fasilitas Utama Tahap 1A (Offshore) Tambak Udang Sumbawa</t>
  </si>
  <si>
    <t>JASA PERHITUNGAN IMBALAN PASCA KERJA</t>
  </si>
  <si>
    <t>JASA PENDAMPINGAN KEGIATAN PROGRAM PERUSAHAAN DAN SOSMAP</t>
  </si>
  <si>
    <t>TRADECORP</t>
  </si>
  <si>
    <t>PEKERJAAN PEMBANGUNAN FASILITAS PENUNJANG FAMILY STAFF HOUSE DAN DORMITORY MALE</t>
  </si>
  <si>
    <t>PEKERJAAN CUT&amp;FILL JALAN AKSES PFFSHORE DAN IBADAH WARGA</t>
  </si>
  <si>
    <t>PEKERJAAN VVIP &amp; DORMITORY MALE</t>
  </si>
  <si>
    <t>ADDENDUM I PERJANJIAN KERJA (KONTRAK) PENGADAAN MATERIAL DAN PENGERJAAN TRAFO &amp; JARINGAN LISTRIK TAMBAK UDANG SUMBAWA</t>
  </si>
  <si>
    <t>PEKERJAAN KANOPI, SUMUR RESAPAN DAN TERAS PH</t>
  </si>
  <si>
    <t>PAGAR PANEL 372,5 DAN PERBAIKAN PAGAR PANEL</t>
  </si>
  <si>
    <t>PAGAR PANEL 310M (LAHAN BARU)</t>
  </si>
  <si>
    <t>PO</t>
  </si>
  <si>
    <t>KSO SPLIT LDS-MAA</t>
  </si>
  <si>
    <t>Pekerjaan Proyek Pembangunan Tambak Udang Sumbawa Tahap 1A</t>
  </si>
  <si>
    <t>PT ARTHA BUANA ANANTA</t>
  </si>
  <si>
    <t>Pengadaan Barang dan Jasa Tambak Udang Sumbawa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</si>
</sst>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\ hh:mm:ss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wrapText="1"/>
    </xf>
    <xf numFmtId="165" fontId="0" fillId="0" borderId="0" xfId="1" applyNumberFormat="1" applyFont="1"/>
    <xf numFmtId="165" fontId="0" fillId="0" borderId="0" xfId="0" applyNumberFormat="1"/>
    <xf numFmtId="0" fontId="0" fillId="2" borderId="0" xfId="0" applyFill="1"/>
    <xf numFmtId="0" fontId="0" fillId="2" borderId="0" xfId="0" applyFill="1" applyAlignment="1">
      <alignment wrapText="1"/>
    </xf>
    <xf numFmtId="0" fontId="0" fillId="3" borderId="0" xfId="0" applyFill="1"/>
    <xf numFmtId="164" fontId="0" fillId="3" borderId="0" xfId="0" applyNumberFormat="1" applyFill="1"/>
    <xf numFmtId="3" fontId="0" fillId="3" borderId="0" xfId="0" applyNumberFormat="1" applyFill="1"/>
    <xf numFmtId="165" fontId="0" fillId="3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239"/>
  <sheetViews>
    <sheetView tabSelected="1" zoomScale="80" zoomScaleNormal="80" workbookViewId="0">
      <pane xSplit="1" ySplit="1" topLeftCell="B2" activePane="bottomRight" state="frozen"/>
      <selection pane="topRight" activeCell="B1" sqref="B1"/>
      <selection pane="bottomLeft" activeCell="A3" sqref="A3"/>
      <selection pane="bottomRight" activeCell="H3" sqref="H3"/>
    </sheetView>
  </sheetViews>
  <sheetFormatPr baseColWidth="10" defaultColWidth="8.83203125" defaultRowHeight="15" x14ac:dyDescent="0.2"/>
  <cols>
    <col min="1" max="1" width="49.1640625" customWidth="1"/>
    <col min="2" max="2" width="80.83203125" customWidth="1"/>
    <col min="3" max="3" width="28.6640625" customWidth="1"/>
    <col min="4" max="4" width="27.1640625" customWidth="1"/>
    <col min="5" max="5" width="23.33203125" customWidth="1"/>
    <col min="6" max="6" width="9" customWidth="1"/>
    <col min="7" max="7" width="32.6640625" customWidth="1"/>
    <col min="8" max="8" width="11.83203125" customWidth="1"/>
    <col min="9" max="9" width="23" customWidth="1"/>
    <col min="14" max="14" width="14.33203125" bestFit="1" customWidth="1"/>
    <col min="15" max="15" width="15.83203125" bestFit="1" customWidth="1"/>
  </cols>
  <sheetData>
    <row r="1" spans="1:9" x14ac:dyDescent="0.2">
      <c r="A1" s="1" t="s">
        <v>0</v>
      </c>
      <c r="B1" s="1" t="s">
        <v>17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25</v>
      </c>
    </row>
    <row r="2" spans="1:9" x14ac:dyDescent="0.2">
      <c r="A2" s="7" t="s">
        <v>26</v>
      </c>
      <c r="B2" t="s">
        <v>27</v>
      </c>
      <c r="C2" s="2">
        <v>45075</v>
      </c>
      <c r="D2" s="2">
        <v>45135</v>
      </c>
      <c r="E2" s="3">
        <v>658096800</v>
      </c>
      <c r="F2">
        <v>1</v>
      </c>
      <c r="G2" s="3">
        <v>131619360</v>
      </c>
      <c r="H2" t="s">
        <v>16</v>
      </c>
      <c r="I2" s="2">
        <v>45085</v>
      </c>
    </row>
    <row r="3" spans="1:9" x14ac:dyDescent="0.2">
      <c r="A3" t="s">
        <v>26</v>
      </c>
      <c r="B3" t="s">
        <v>27</v>
      </c>
      <c r="C3" s="2">
        <v>45075</v>
      </c>
      <c r="D3" s="2">
        <v>45135</v>
      </c>
      <c r="E3" s="3">
        <v>658096800</v>
      </c>
      <c r="F3">
        <v>2</v>
      </c>
      <c r="G3" s="3">
        <v>460667760</v>
      </c>
      <c r="H3" t="s">
        <v>16</v>
      </c>
      <c r="I3" s="2">
        <v>45131</v>
      </c>
    </row>
    <row r="4" spans="1:9" x14ac:dyDescent="0.2">
      <c r="A4" t="s">
        <v>26</v>
      </c>
      <c r="B4" t="s">
        <v>27</v>
      </c>
      <c r="C4" s="2">
        <v>45075</v>
      </c>
      <c r="D4" s="2">
        <v>45135</v>
      </c>
      <c r="E4" s="3">
        <v>658096800</v>
      </c>
      <c r="F4">
        <v>3</v>
      </c>
      <c r="G4" s="3">
        <v>65809680</v>
      </c>
      <c r="H4" t="s">
        <v>16</v>
      </c>
      <c r="I4" s="2">
        <v>45149</v>
      </c>
    </row>
    <row r="5" spans="1:9" x14ac:dyDescent="0.2">
      <c r="A5" s="7" t="s">
        <v>28</v>
      </c>
      <c r="B5" t="s">
        <v>29</v>
      </c>
      <c r="C5" s="2">
        <v>45145</v>
      </c>
      <c r="D5" s="2">
        <v>45176</v>
      </c>
      <c r="E5" s="3">
        <v>208291500</v>
      </c>
      <c r="F5">
        <v>1</v>
      </c>
      <c r="G5" s="3">
        <v>62487450</v>
      </c>
      <c r="H5" t="s">
        <v>16</v>
      </c>
      <c r="I5" s="2">
        <v>45159</v>
      </c>
    </row>
    <row r="6" spans="1:9" x14ac:dyDescent="0.2">
      <c r="A6" t="s">
        <v>28</v>
      </c>
      <c r="B6" t="s">
        <v>29</v>
      </c>
      <c r="C6" s="2">
        <v>45145</v>
      </c>
      <c r="D6" s="2">
        <v>45176</v>
      </c>
      <c r="E6" s="3">
        <v>208291500</v>
      </c>
      <c r="F6">
        <v>2</v>
      </c>
      <c r="G6" s="3">
        <v>145804050</v>
      </c>
      <c r="H6" t="s">
        <v>16</v>
      </c>
      <c r="I6" s="2">
        <v>45163</v>
      </c>
    </row>
    <row r="7" spans="1:9" x14ac:dyDescent="0.2">
      <c r="A7" t="s">
        <v>28</v>
      </c>
      <c r="B7" t="s">
        <v>18</v>
      </c>
      <c r="C7" s="2">
        <v>45145</v>
      </c>
      <c r="D7" s="2">
        <v>45206</v>
      </c>
      <c r="E7" s="3">
        <v>2116770000</v>
      </c>
      <c r="F7">
        <v>1</v>
      </c>
      <c r="G7" s="3">
        <v>423354000</v>
      </c>
      <c r="H7" t="s">
        <v>16</v>
      </c>
      <c r="I7" s="2">
        <v>45219</v>
      </c>
    </row>
    <row r="8" spans="1:9" x14ac:dyDescent="0.2">
      <c r="A8" t="s">
        <v>28</v>
      </c>
      <c r="B8" t="s">
        <v>18</v>
      </c>
      <c r="C8" s="2">
        <v>45145</v>
      </c>
      <c r="D8" s="2">
        <v>45206</v>
      </c>
      <c r="E8" s="3">
        <v>2116770000</v>
      </c>
      <c r="F8">
        <v>2</v>
      </c>
      <c r="G8" s="3">
        <v>1058385000</v>
      </c>
      <c r="H8" t="s">
        <v>16</v>
      </c>
      <c r="I8" s="2">
        <v>45328</v>
      </c>
    </row>
    <row r="9" spans="1:9" x14ac:dyDescent="0.2">
      <c r="A9" t="s">
        <v>28</v>
      </c>
      <c r="B9" t="s">
        <v>18</v>
      </c>
      <c r="C9" s="2">
        <v>45145</v>
      </c>
      <c r="D9" s="2">
        <v>45206</v>
      </c>
      <c r="E9" s="3">
        <v>2116770000</v>
      </c>
      <c r="F9">
        <v>3</v>
      </c>
      <c r="G9" s="3">
        <v>635031000</v>
      </c>
      <c r="H9" t="s">
        <v>16</v>
      </c>
      <c r="I9" s="2">
        <v>45436</v>
      </c>
    </row>
    <row r="10" spans="1:9" x14ac:dyDescent="0.2">
      <c r="A10" t="s">
        <v>28</v>
      </c>
      <c r="B10" t="s">
        <v>30</v>
      </c>
      <c r="C10" s="2">
        <v>45145</v>
      </c>
      <c r="D10" s="2">
        <v>45267</v>
      </c>
      <c r="E10" s="3">
        <v>680985000</v>
      </c>
      <c r="F10">
        <v>1</v>
      </c>
      <c r="G10" s="3">
        <v>136197000</v>
      </c>
      <c r="H10" t="s">
        <v>16</v>
      </c>
      <c r="I10" s="2">
        <v>45124</v>
      </c>
    </row>
    <row r="11" spans="1:9" x14ac:dyDescent="0.2">
      <c r="A11" t="s">
        <v>28</v>
      </c>
      <c r="B11" t="s">
        <v>30</v>
      </c>
      <c r="C11" s="2">
        <v>45145</v>
      </c>
      <c r="D11" s="2">
        <v>45267</v>
      </c>
      <c r="E11" s="3">
        <v>680985000</v>
      </c>
      <c r="F11">
        <v>2</v>
      </c>
      <c r="G11" s="3">
        <v>340492500</v>
      </c>
      <c r="H11" t="s">
        <v>16</v>
      </c>
      <c r="I11" s="2">
        <v>45194</v>
      </c>
    </row>
    <row r="12" spans="1:9" x14ac:dyDescent="0.2">
      <c r="A12" t="s">
        <v>28</v>
      </c>
      <c r="B12" t="s">
        <v>30</v>
      </c>
      <c r="C12" s="2">
        <v>45145</v>
      </c>
      <c r="D12" s="2">
        <v>45267</v>
      </c>
      <c r="E12" s="3">
        <v>680985000</v>
      </c>
      <c r="F12">
        <v>3</v>
      </c>
      <c r="G12" s="3">
        <v>204295500</v>
      </c>
      <c r="H12" t="s">
        <v>16</v>
      </c>
      <c r="I12" s="2">
        <v>45222</v>
      </c>
    </row>
    <row r="13" spans="1:9" x14ac:dyDescent="0.2">
      <c r="A13" s="7" t="s">
        <v>10</v>
      </c>
      <c r="B13" t="s">
        <v>31</v>
      </c>
      <c r="C13" s="2">
        <v>45160</v>
      </c>
      <c r="D13" s="2">
        <v>45373</v>
      </c>
      <c r="E13" s="3">
        <v>1139250000</v>
      </c>
      <c r="F13">
        <v>1</v>
      </c>
      <c r="G13" s="3">
        <v>227850000</v>
      </c>
      <c r="H13" t="s">
        <v>16</v>
      </c>
      <c r="I13" s="2">
        <v>45162</v>
      </c>
    </row>
    <row r="14" spans="1:9" x14ac:dyDescent="0.2">
      <c r="A14" t="s">
        <v>10</v>
      </c>
      <c r="B14" t="s">
        <v>31</v>
      </c>
      <c r="C14" s="2">
        <v>45160</v>
      </c>
      <c r="D14" s="2">
        <v>45373</v>
      </c>
      <c r="E14" s="3">
        <v>1139250000</v>
      </c>
      <c r="F14">
        <v>2</v>
      </c>
      <c r="G14" s="3">
        <v>341775000</v>
      </c>
      <c r="H14" t="s">
        <v>16</v>
      </c>
      <c r="I14" s="2">
        <v>45187</v>
      </c>
    </row>
    <row r="15" spans="1:9" x14ac:dyDescent="0.2">
      <c r="A15" t="s">
        <v>10</v>
      </c>
      <c r="B15" t="s">
        <v>31</v>
      </c>
      <c r="C15" s="2">
        <v>45160</v>
      </c>
      <c r="D15" s="2">
        <v>45373</v>
      </c>
      <c r="E15" s="3">
        <v>1139250000</v>
      </c>
      <c r="F15">
        <v>3</v>
      </c>
      <c r="G15" s="3">
        <v>341775000</v>
      </c>
      <c r="H15" t="s">
        <v>16</v>
      </c>
      <c r="I15" s="2">
        <v>45498</v>
      </c>
    </row>
    <row r="16" spans="1:9" x14ac:dyDescent="0.2">
      <c r="A16" t="s">
        <v>10</v>
      </c>
      <c r="B16" t="s">
        <v>31</v>
      </c>
      <c r="C16" s="2">
        <v>45160</v>
      </c>
      <c r="D16" s="2">
        <v>45373</v>
      </c>
      <c r="E16" s="3">
        <v>1139250000</v>
      </c>
      <c r="F16">
        <v>4</v>
      </c>
      <c r="G16" s="3">
        <v>227850000</v>
      </c>
      <c r="H16" t="s">
        <v>16</v>
      </c>
      <c r="I16" s="2">
        <v>45558</v>
      </c>
    </row>
    <row r="17" spans="1:9" x14ac:dyDescent="0.2">
      <c r="A17" s="7" t="s">
        <v>32</v>
      </c>
      <c r="B17" t="s">
        <v>33</v>
      </c>
      <c r="C17" s="2">
        <v>45200</v>
      </c>
      <c r="D17" s="2">
        <v>45931</v>
      </c>
      <c r="E17" s="3">
        <v>24056722803</v>
      </c>
      <c r="F17">
        <v>1</v>
      </c>
      <c r="G17" s="3">
        <v>21373328</v>
      </c>
      <c r="H17" t="s">
        <v>16</v>
      </c>
      <c r="I17" s="2">
        <v>45253</v>
      </c>
    </row>
    <row r="18" spans="1:9" x14ac:dyDescent="0.2">
      <c r="A18" t="s">
        <v>32</v>
      </c>
      <c r="B18" t="s">
        <v>33</v>
      </c>
      <c r="C18" s="2">
        <v>45200</v>
      </c>
      <c r="D18" s="2">
        <v>45931</v>
      </c>
      <c r="E18" s="3">
        <v>24056722803</v>
      </c>
      <c r="F18">
        <v>2</v>
      </c>
      <c r="G18" s="3">
        <v>21458696</v>
      </c>
      <c r="H18" t="s">
        <v>16</v>
      </c>
      <c r="I18" s="2">
        <v>45274</v>
      </c>
    </row>
    <row r="19" spans="1:9" x14ac:dyDescent="0.2">
      <c r="A19" t="s">
        <v>32</v>
      </c>
      <c r="B19" t="s">
        <v>33</v>
      </c>
      <c r="C19" s="2">
        <v>45200</v>
      </c>
      <c r="D19" s="2">
        <v>45931</v>
      </c>
      <c r="E19" s="3">
        <v>24056722803</v>
      </c>
      <c r="F19">
        <v>3</v>
      </c>
      <c r="G19" s="3">
        <v>22515586</v>
      </c>
      <c r="H19" t="s">
        <v>16</v>
      </c>
      <c r="I19" s="2">
        <v>45307</v>
      </c>
    </row>
    <row r="20" spans="1:9" x14ac:dyDescent="0.2">
      <c r="A20" t="s">
        <v>32</v>
      </c>
      <c r="B20" t="s">
        <v>33</v>
      </c>
      <c r="C20" s="2">
        <v>45200</v>
      </c>
      <c r="D20" s="2">
        <v>45931</v>
      </c>
      <c r="E20" s="3">
        <v>24056722803</v>
      </c>
      <c r="F20">
        <v>4</v>
      </c>
      <c r="G20" s="3">
        <v>23555856</v>
      </c>
      <c r="H20" t="s">
        <v>16</v>
      </c>
      <c r="I20" s="2">
        <v>45342</v>
      </c>
    </row>
    <row r="21" spans="1:9" x14ac:dyDescent="0.2">
      <c r="A21" t="s">
        <v>32</v>
      </c>
      <c r="B21" t="s">
        <v>33</v>
      </c>
      <c r="C21" s="2">
        <v>45200</v>
      </c>
      <c r="D21" s="2">
        <v>45931</v>
      </c>
      <c r="E21" s="3">
        <v>24056722803</v>
      </c>
      <c r="F21">
        <v>5</v>
      </c>
      <c r="G21" s="3">
        <v>25942356</v>
      </c>
      <c r="H21" t="s">
        <v>16</v>
      </c>
      <c r="I21" s="2">
        <v>45384</v>
      </c>
    </row>
    <row r="22" spans="1:9" x14ac:dyDescent="0.2">
      <c r="A22" t="s">
        <v>32</v>
      </c>
      <c r="B22" t="s">
        <v>33</v>
      </c>
      <c r="C22" s="2">
        <v>45200</v>
      </c>
      <c r="D22" s="2">
        <v>45931</v>
      </c>
      <c r="E22" s="3">
        <v>24056722803</v>
      </c>
      <c r="F22">
        <v>6</v>
      </c>
      <c r="G22" s="3">
        <v>34626609</v>
      </c>
      <c r="H22" t="s">
        <v>16</v>
      </c>
      <c r="I22" s="2">
        <v>45520</v>
      </c>
    </row>
    <row r="23" spans="1:9" x14ac:dyDescent="0.2">
      <c r="A23" t="s">
        <v>32</v>
      </c>
      <c r="B23" t="s">
        <v>33</v>
      </c>
      <c r="C23" s="2">
        <v>45200</v>
      </c>
      <c r="D23" s="2">
        <v>45931</v>
      </c>
      <c r="E23" s="3">
        <v>24056722803</v>
      </c>
      <c r="F23">
        <v>7</v>
      </c>
      <c r="G23" s="3">
        <v>33612408</v>
      </c>
      <c r="H23" t="s">
        <v>16</v>
      </c>
      <c r="I23" s="2">
        <v>45420</v>
      </c>
    </row>
    <row r="24" spans="1:9" x14ac:dyDescent="0.2">
      <c r="A24" t="s">
        <v>32</v>
      </c>
      <c r="B24" t="s">
        <v>33</v>
      </c>
      <c r="C24" s="2">
        <v>45200</v>
      </c>
      <c r="D24" s="2">
        <v>45931</v>
      </c>
      <c r="E24" s="3">
        <v>24056722803</v>
      </c>
      <c r="F24">
        <v>8</v>
      </c>
      <c r="G24" s="3">
        <v>34209680</v>
      </c>
      <c r="H24" t="s">
        <v>16</v>
      </c>
      <c r="I24" s="2">
        <v>45459</v>
      </c>
    </row>
    <row r="25" spans="1:9" x14ac:dyDescent="0.2">
      <c r="A25" t="s">
        <v>32</v>
      </c>
      <c r="B25" t="s">
        <v>33</v>
      </c>
      <c r="C25" s="2">
        <v>45200</v>
      </c>
      <c r="D25" s="2">
        <v>45931</v>
      </c>
      <c r="E25" s="3">
        <v>24056722803</v>
      </c>
      <c r="F25">
        <v>9</v>
      </c>
      <c r="G25" s="3">
        <v>48061163</v>
      </c>
      <c r="H25" t="s">
        <v>16</v>
      </c>
      <c r="I25" s="2">
        <v>45465</v>
      </c>
    </row>
    <row r="26" spans="1:9" x14ac:dyDescent="0.2">
      <c r="A26" t="s">
        <v>32</v>
      </c>
      <c r="B26" t="s">
        <v>33</v>
      </c>
      <c r="C26" s="2">
        <v>45200</v>
      </c>
      <c r="D26" s="2">
        <v>45931</v>
      </c>
      <c r="E26" s="3">
        <v>24056722803</v>
      </c>
      <c r="F26">
        <v>10</v>
      </c>
      <c r="G26" s="3">
        <v>87594791</v>
      </c>
      <c r="H26" t="s">
        <v>16</v>
      </c>
      <c r="I26" s="2">
        <v>45520</v>
      </c>
    </row>
    <row r="27" spans="1:9" x14ac:dyDescent="0.2">
      <c r="A27" t="s">
        <v>32</v>
      </c>
      <c r="B27" t="s">
        <v>33</v>
      </c>
      <c r="C27" s="2">
        <v>45200</v>
      </c>
      <c r="D27" s="2">
        <v>45931</v>
      </c>
      <c r="E27" s="3">
        <v>24056722803</v>
      </c>
      <c r="F27">
        <v>11</v>
      </c>
      <c r="G27" s="3">
        <v>88660778</v>
      </c>
      <c r="H27" t="s">
        <v>16</v>
      </c>
      <c r="I27" s="2">
        <v>45558</v>
      </c>
    </row>
    <row r="28" spans="1:9" x14ac:dyDescent="0.2">
      <c r="A28" t="s">
        <v>32</v>
      </c>
      <c r="B28" t="s">
        <v>33</v>
      </c>
      <c r="C28" s="2">
        <v>45200</v>
      </c>
      <c r="D28" s="2">
        <v>45931</v>
      </c>
      <c r="E28" s="3">
        <v>24056722803</v>
      </c>
      <c r="F28">
        <v>12</v>
      </c>
      <c r="G28" s="3">
        <v>115744760</v>
      </c>
      <c r="H28" t="s">
        <v>16</v>
      </c>
      <c r="I28" s="2">
        <v>45620</v>
      </c>
    </row>
    <row r="29" spans="1:9" x14ac:dyDescent="0.2">
      <c r="A29" t="s">
        <v>32</v>
      </c>
      <c r="B29" t="s">
        <v>33</v>
      </c>
      <c r="C29" s="2">
        <v>45200</v>
      </c>
      <c r="D29" s="2">
        <v>45931</v>
      </c>
      <c r="E29" s="3">
        <v>24056722803</v>
      </c>
      <c r="F29">
        <v>13</v>
      </c>
      <c r="G29" s="3">
        <v>116119214</v>
      </c>
      <c r="H29" t="s">
        <v>16</v>
      </c>
      <c r="I29" s="2">
        <v>45602</v>
      </c>
    </row>
    <row r="30" spans="1:9" x14ac:dyDescent="0.2">
      <c r="A30" t="s">
        <v>32</v>
      </c>
      <c r="B30" t="s">
        <v>33</v>
      </c>
      <c r="C30" s="2">
        <v>45200</v>
      </c>
      <c r="D30" s="2">
        <v>45931</v>
      </c>
      <c r="E30" s="3">
        <v>24056722803</v>
      </c>
      <c r="F30">
        <v>14</v>
      </c>
      <c r="G30" s="3">
        <v>453255029</v>
      </c>
      <c r="H30" t="s">
        <v>16</v>
      </c>
      <c r="I30" s="2">
        <v>45688</v>
      </c>
    </row>
    <row r="31" spans="1:9" x14ac:dyDescent="0.2">
      <c r="A31" t="s">
        <v>32</v>
      </c>
      <c r="B31" t="s">
        <v>33</v>
      </c>
      <c r="C31" s="2">
        <v>45200</v>
      </c>
      <c r="D31" s="2">
        <v>45931</v>
      </c>
      <c r="E31" s="3">
        <v>24056722803</v>
      </c>
      <c r="F31">
        <v>15</v>
      </c>
      <c r="G31" s="3">
        <v>136105522</v>
      </c>
      <c r="H31" t="s">
        <v>16</v>
      </c>
      <c r="I31" s="2">
        <v>45721</v>
      </c>
    </row>
    <row r="32" spans="1:9" x14ac:dyDescent="0.2">
      <c r="A32" t="s">
        <v>32</v>
      </c>
      <c r="B32" t="s">
        <v>33</v>
      </c>
      <c r="C32" s="2">
        <v>45200</v>
      </c>
      <c r="D32" s="2">
        <v>45931</v>
      </c>
      <c r="E32" s="3">
        <v>24056722803</v>
      </c>
      <c r="F32">
        <v>16</v>
      </c>
      <c r="G32" s="3">
        <v>507101495</v>
      </c>
      <c r="H32" t="s">
        <v>16</v>
      </c>
      <c r="I32" s="2">
        <v>45786</v>
      </c>
    </row>
    <row r="33" spans="1:9" x14ac:dyDescent="0.2">
      <c r="A33" t="s">
        <v>32</v>
      </c>
      <c r="B33" t="s">
        <v>33</v>
      </c>
      <c r="C33" s="2">
        <v>45200</v>
      </c>
      <c r="D33" s="2">
        <v>45931</v>
      </c>
      <c r="E33" s="3">
        <v>24056722803</v>
      </c>
      <c r="F33">
        <v>17</v>
      </c>
      <c r="G33" s="3">
        <v>277730981</v>
      </c>
      <c r="H33" t="s">
        <v>16</v>
      </c>
      <c r="I33" s="2">
        <v>45864</v>
      </c>
    </row>
    <row r="34" spans="1:9" x14ac:dyDescent="0.2">
      <c r="A34" t="s">
        <v>32</v>
      </c>
      <c r="B34" t="s">
        <v>33</v>
      </c>
      <c r="C34" s="2">
        <v>45200</v>
      </c>
      <c r="D34" s="2">
        <v>45931</v>
      </c>
      <c r="E34" s="3">
        <v>24056722803</v>
      </c>
      <c r="F34">
        <v>18</v>
      </c>
      <c r="G34" s="3">
        <v>356498779</v>
      </c>
      <c r="H34" t="s">
        <v>16</v>
      </c>
      <c r="I34" s="2">
        <v>45864</v>
      </c>
    </row>
    <row r="35" spans="1:9" x14ac:dyDescent="0.2">
      <c r="A35" t="s">
        <v>32</v>
      </c>
      <c r="B35" t="s">
        <v>33</v>
      </c>
      <c r="C35" s="2">
        <v>45200</v>
      </c>
      <c r="D35" s="2">
        <v>45931</v>
      </c>
      <c r="E35" s="3">
        <v>24056722803</v>
      </c>
      <c r="F35">
        <v>19</v>
      </c>
      <c r="G35" s="3">
        <v>288259752</v>
      </c>
      <c r="H35" t="s">
        <v>16</v>
      </c>
      <c r="I35" s="2">
        <v>45864</v>
      </c>
    </row>
    <row r="36" spans="1:9" x14ac:dyDescent="0.2">
      <c r="A36" t="s">
        <v>32</v>
      </c>
      <c r="B36" t="s">
        <v>33</v>
      </c>
      <c r="C36" s="2">
        <v>45200</v>
      </c>
      <c r="D36" s="2">
        <v>45931</v>
      </c>
      <c r="E36" s="3">
        <v>24056722803</v>
      </c>
      <c r="F36">
        <v>20</v>
      </c>
      <c r="G36" s="3">
        <v>137304754</v>
      </c>
      <c r="H36" t="s">
        <v>16</v>
      </c>
      <c r="I36" s="2">
        <v>45931</v>
      </c>
    </row>
    <row r="37" spans="1:9" x14ac:dyDescent="0.2">
      <c r="A37" t="s">
        <v>32</v>
      </c>
      <c r="B37" t="s">
        <v>33</v>
      </c>
      <c r="C37" s="2">
        <v>45200</v>
      </c>
      <c r="D37" s="2">
        <v>45931</v>
      </c>
      <c r="E37" s="3">
        <v>24056722803</v>
      </c>
      <c r="F37">
        <v>21</v>
      </c>
      <c r="G37" s="3">
        <v>100082931</v>
      </c>
      <c r="H37" t="s">
        <v>16</v>
      </c>
      <c r="I37" s="2">
        <v>45931</v>
      </c>
    </row>
    <row r="38" spans="1:9" x14ac:dyDescent="0.2">
      <c r="A38" t="s">
        <v>32</v>
      </c>
      <c r="B38" t="s">
        <v>33</v>
      </c>
      <c r="C38" s="2">
        <v>45200</v>
      </c>
      <c r="D38" s="2">
        <v>45931</v>
      </c>
      <c r="E38" s="3">
        <v>24056722803</v>
      </c>
      <c r="F38">
        <v>22</v>
      </c>
      <c r="G38" s="3">
        <v>227650897</v>
      </c>
      <c r="H38" t="s">
        <v>16</v>
      </c>
      <c r="I38" s="2">
        <v>45931</v>
      </c>
    </row>
    <row r="39" spans="1:9" x14ac:dyDescent="0.2">
      <c r="A39" t="s">
        <v>32</v>
      </c>
      <c r="B39" t="s">
        <v>33</v>
      </c>
      <c r="C39" s="2">
        <v>45200</v>
      </c>
      <c r="D39" s="2">
        <v>45931</v>
      </c>
      <c r="E39" s="3">
        <v>24056722803</v>
      </c>
      <c r="F39">
        <v>23</v>
      </c>
      <c r="G39" s="3">
        <v>221962671</v>
      </c>
      <c r="H39" t="s">
        <v>16</v>
      </c>
      <c r="I39" s="2">
        <v>45931</v>
      </c>
    </row>
    <row r="40" spans="1:9" x14ac:dyDescent="0.2">
      <c r="A40" t="s">
        <v>32</v>
      </c>
      <c r="B40" t="s">
        <v>33</v>
      </c>
      <c r="C40" s="2">
        <v>45200</v>
      </c>
      <c r="D40" s="2">
        <v>45931</v>
      </c>
      <c r="E40" s="3">
        <v>24056722803</v>
      </c>
      <c r="F40">
        <v>24</v>
      </c>
      <c r="G40" s="3">
        <v>98818195</v>
      </c>
      <c r="H40" t="s">
        <v>16</v>
      </c>
      <c r="I40" s="2">
        <v>45989</v>
      </c>
    </row>
    <row r="41" spans="1:9" x14ac:dyDescent="0.2">
      <c r="A41" t="s">
        <v>32</v>
      </c>
      <c r="B41" t="s">
        <v>33</v>
      </c>
      <c r="C41" s="2">
        <v>45200</v>
      </c>
      <c r="D41" s="2">
        <v>45931</v>
      </c>
      <c r="E41" s="3">
        <v>24056722803</v>
      </c>
      <c r="F41">
        <v>25</v>
      </c>
      <c r="G41" s="3">
        <v>271256676</v>
      </c>
      <c r="H41" t="s">
        <v>16</v>
      </c>
      <c r="I41" s="2">
        <v>45989</v>
      </c>
    </row>
    <row r="42" spans="1:9" ht="16" x14ac:dyDescent="0.2">
      <c r="A42" s="8" t="s">
        <v>8</v>
      </c>
      <c r="B42" t="s">
        <v>34</v>
      </c>
      <c r="C42" s="2">
        <v>45250</v>
      </c>
      <c r="D42" s="2">
        <v>45280</v>
      </c>
      <c r="E42" s="3">
        <v>280497000</v>
      </c>
      <c r="F42">
        <v>1</v>
      </c>
      <c r="G42" s="3">
        <v>26127818</v>
      </c>
      <c r="H42" t="s">
        <v>16</v>
      </c>
      <c r="I42" s="2">
        <v>45266</v>
      </c>
    </row>
    <row r="43" spans="1:9" ht="16" x14ac:dyDescent="0.2">
      <c r="A43" s="4" t="s">
        <v>8</v>
      </c>
      <c r="B43" t="s">
        <v>34</v>
      </c>
      <c r="C43" s="2">
        <v>45250</v>
      </c>
      <c r="D43" s="2">
        <v>45280</v>
      </c>
      <c r="E43" s="3">
        <v>280497000</v>
      </c>
      <c r="F43">
        <v>2</v>
      </c>
      <c r="G43" s="3">
        <v>254369182</v>
      </c>
      <c r="H43" t="s">
        <v>16</v>
      </c>
      <c r="I43" s="2">
        <v>45478</v>
      </c>
    </row>
    <row r="44" spans="1:9" ht="16" x14ac:dyDescent="0.2">
      <c r="A44" s="4" t="s">
        <v>8</v>
      </c>
      <c r="B44" t="s">
        <v>35</v>
      </c>
      <c r="C44" s="2">
        <v>45250</v>
      </c>
      <c r="D44" s="2">
        <v>45817</v>
      </c>
      <c r="E44" s="3">
        <v>3499497000</v>
      </c>
      <c r="F44">
        <v>1</v>
      </c>
      <c r="G44" s="3">
        <v>226258432</v>
      </c>
      <c r="H44" t="s">
        <v>16</v>
      </c>
      <c r="I44" s="2">
        <v>45266</v>
      </c>
    </row>
    <row r="45" spans="1:9" ht="16" x14ac:dyDescent="0.2">
      <c r="A45" s="4" t="s">
        <v>8</v>
      </c>
      <c r="B45" t="s">
        <v>35</v>
      </c>
      <c r="C45" s="2">
        <v>45250</v>
      </c>
      <c r="D45" s="2">
        <v>45817</v>
      </c>
      <c r="E45" s="3">
        <v>3499497000</v>
      </c>
      <c r="F45">
        <v>2</v>
      </c>
      <c r="G45" s="3">
        <v>139112864</v>
      </c>
      <c r="H45" t="s">
        <v>16</v>
      </c>
      <c r="I45" s="2">
        <v>45538</v>
      </c>
    </row>
    <row r="46" spans="1:9" ht="16" x14ac:dyDescent="0.2">
      <c r="A46" s="4" t="s">
        <v>8</v>
      </c>
      <c r="B46" t="s">
        <v>35</v>
      </c>
      <c r="C46" s="2">
        <v>45250</v>
      </c>
      <c r="D46" s="2">
        <v>45817</v>
      </c>
      <c r="E46" s="3">
        <v>3499497000</v>
      </c>
      <c r="F46">
        <v>3</v>
      </c>
      <c r="G46" s="3">
        <v>159244972</v>
      </c>
      <c r="H46" t="s">
        <v>16</v>
      </c>
      <c r="I46" s="2">
        <v>45538</v>
      </c>
    </row>
    <row r="47" spans="1:9" ht="16" x14ac:dyDescent="0.2">
      <c r="A47" s="4" t="s">
        <v>8</v>
      </c>
      <c r="B47" t="s">
        <v>35</v>
      </c>
      <c r="C47" s="2">
        <v>45250</v>
      </c>
      <c r="D47" s="2">
        <v>45817</v>
      </c>
      <c r="E47" s="3">
        <v>3499497000</v>
      </c>
      <c r="F47">
        <v>4</v>
      </c>
      <c r="G47" s="3">
        <v>159244972</v>
      </c>
      <c r="H47" t="s">
        <v>16</v>
      </c>
      <c r="I47" s="2">
        <v>45582</v>
      </c>
    </row>
    <row r="48" spans="1:9" ht="16" x14ac:dyDescent="0.2">
      <c r="A48" s="4" t="s">
        <v>8</v>
      </c>
      <c r="B48" t="s">
        <v>35</v>
      </c>
      <c r="C48" s="2">
        <v>45250</v>
      </c>
      <c r="D48" s="2">
        <v>45817</v>
      </c>
      <c r="E48" s="3">
        <v>3499497000</v>
      </c>
      <c r="F48">
        <v>5</v>
      </c>
      <c r="G48" s="3">
        <v>159244972</v>
      </c>
      <c r="H48" t="s">
        <v>16</v>
      </c>
      <c r="I48" s="2">
        <v>45618</v>
      </c>
    </row>
    <row r="49" spans="1:9" ht="16" x14ac:dyDescent="0.2">
      <c r="A49" s="4" t="s">
        <v>8</v>
      </c>
      <c r="B49" t="s">
        <v>35</v>
      </c>
      <c r="C49" s="2">
        <v>45250</v>
      </c>
      <c r="D49" s="2">
        <v>45817</v>
      </c>
      <c r="E49" s="3">
        <v>3499497000</v>
      </c>
      <c r="F49">
        <v>6</v>
      </c>
      <c r="G49" s="3">
        <v>159244972</v>
      </c>
      <c r="H49" t="s">
        <v>16</v>
      </c>
      <c r="I49" s="2">
        <v>45649</v>
      </c>
    </row>
    <row r="50" spans="1:9" ht="16" x14ac:dyDescent="0.2">
      <c r="A50" s="4" t="s">
        <v>8</v>
      </c>
      <c r="B50" t="s">
        <v>35</v>
      </c>
      <c r="C50" s="2">
        <v>45250</v>
      </c>
      <c r="D50" s="2">
        <v>45817</v>
      </c>
      <c r="E50" s="3">
        <v>3499497000</v>
      </c>
      <c r="F50">
        <v>7</v>
      </c>
      <c r="G50" s="3">
        <v>171324237</v>
      </c>
      <c r="H50" t="s">
        <v>16</v>
      </c>
      <c r="I50" s="2">
        <v>45674</v>
      </c>
    </row>
    <row r="51" spans="1:9" ht="16" x14ac:dyDescent="0.2">
      <c r="A51" s="4" t="s">
        <v>8</v>
      </c>
      <c r="B51" t="s">
        <v>35</v>
      </c>
      <c r="C51" s="2">
        <v>45250</v>
      </c>
      <c r="D51" s="2">
        <v>45817</v>
      </c>
      <c r="E51" s="3">
        <v>3499497000</v>
      </c>
      <c r="F51">
        <v>8</v>
      </c>
      <c r="G51" s="3">
        <v>183403501</v>
      </c>
      <c r="H51" t="s">
        <v>16</v>
      </c>
      <c r="I51" s="2">
        <v>45708</v>
      </c>
    </row>
    <row r="52" spans="1:9" ht="16" x14ac:dyDescent="0.2">
      <c r="A52" s="4" t="s">
        <v>8</v>
      </c>
      <c r="B52" t="s">
        <v>35</v>
      </c>
      <c r="C52" s="2">
        <v>45250</v>
      </c>
      <c r="D52" s="2">
        <v>45817</v>
      </c>
      <c r="E52" s="3">
        <v>3499497000</v>
      </c>
      <c r="F52">
        <v>9</v>
      </c>
      <c r="G52" s="3">
        <v>183403501</v>
      </c>
      <c r="H52" t="s">
        <v>16</v>
      </c>
      <c r="I52" s="2">
        <v>45735</v>
      </c>
    </row>
    <row r="53" spans="1:9" ht="16" x14ac:dyDescent="0.2">
      <c r="A53" s="4" t="s">
        <v>8</v>
      </c>
      <c r="B53" t="s">
        <v>35</v>
      </c>
      <c r="C53" s="2">
        <v>45250</v>
      </c>
      <c r="D53" s="2">
        <v>45817</v>
      </c>
      <c r="E53" s="3">
        <v>3499497000</v>
      </c>
      <c r="F53">
        <v>10</v>
      </c>
      <c r="G53" s="3">
        <v>183403502</v>
      </c>
      <c r="H53" t="s">
        <v>16</v>
      </c>
      <c r="I53" s="2">
        <v>45768</v>
      </c>
    </row>
    <row r="54" spans="1:9" ht="16" x14ac:dyDescent="0.2">
      <c r="A54" s="4" t="s">
        <v>8</v>
      </c>
      <c r="B54" t="s">
        <v>35</v>
      </c>
      <c r="C54" s="2">
        <v>45250</v>
      </c>
      <c r="D54" s="2">
        <v>45817</v>
      </c>
      <c r="E54" s="3">
        <v>3499497000</v>
      </c>
      <c r="F54">
        <v>11</v>
      </c>
      <c r="G54" s="3">
        <v>183403501</v>
      </c>
      <c r="H54" t="s">
        <v>16</v>
      </c>
      <c r="I54" s="2">
        <v>45799</v>
      </c>
    </row>
    <row r="55" spans="1:9" ht="16" x14ac:dyDescent="0.2">
      <c r="A55" s="4" t="s">
        <v>8</v>
      </c>
      <c r="B55" t="s">
        <v>35</v>
      </c>
      <c r="C55" s="2">
        <v>45250</v>
      </c>
      <c r="D55" s="2">
        <v>45817</v>
      </c>
      <c r="E55" s="3">
        <v>3499497000</v>
      </c>
      <c r="F55">
        <v>12</v>
      </c>
      <c r="G55" s="3">
        <v>183403501</v>
      </c>
      <c r="H55" t="s">
        <v>16</v>
      </c>
      <c r="I55" s="2">
        <v>45827</v>
      </c>
    </row>
    <row r="56" spans="1:9" ht="16" x14ac:dyDescent="0.2">
      <c r="A56" s="4" t="s">
        <v>8</v>
      </c>
      <c r="B56" t="s">
        <v>35</v>
      </c>
      <c r="C56" s="2">
        <v>45250</v>
      </c>
      <c r="D56" s="2">
        <v>45817</v>
      </c>
      <c r="E56" s="3">
        <v>3499497000</v>
      </c>
      <c r="F56">
        <v>13</v>
      </c>
      <c r="G56" s="3">
        <v>144145891</v>
      </c>
      <c r="H56" t="s">
        <v>16</v>
      </c>
      <c r="I56" s="2">
        <v>45863</v>
      </c>
    </row>
    <row r="57" spans="1:9" ht="16" x14ac:dyDescent="0.2">
      <c r="A57" s="4" t="s">
        <v>8</v>
      </c>
      <c r="B57" t="s">
        <v>35</v>
      </c>
      <c r="C57" s="2">
        <v>45250</v>
      </c>
      <c r="D57" s="2">
        <v>45817</v>
      </c>
      <c r="E57" s="3">
        <v>3499497000</v>
      </c>
      <c r="F57">
        <v>14</v>
      </c>
      <c r="G57" s="3">
        <v>181419929</v>
      </c>
      <c r="H57" t="s">
        <v>16</v>
      </c>
      <c r="I57" s="2">
        <v>45896</v>
      </c>
    </row>
    <row r="58" spans="1:9" ht="16" x14ac:dyDescent="0.2">
      <c r="A58" s="4" t="s">
        <v>8</v>
      </c>
      <c r="B58" t="s">
        <v>35</v>
      </c>
      <c r="C58" s="2">
        <v>45250</v>
      </c>
      <c r="D58" s="2">
        <v>45817</v>
      </c>
      <c r="E58" s="3">
        <v>3499497000</v>
      </c>
      <c r="F58">
        <v>15</v>
      </c>
      <c r="G58" s="3">
        <v>181373872</v>
      </c>
      <c r="H58" t="s">
        <v>16</v>
      </c>
      <c r="I58" s="2">
        <v>45936</v>
      </c>
    </row>
    <row r="59" spans="1:9" ht="16" x14ac:dyDescent="0.2">
      <c r="A59" s="4" t="s">
        <v>8</v>
      </c>
      <c r="B59" t="s">
        <v>35</v>
      </c>
      <c r="C59" s="2">
        <v>45250</v>
      </c>
      <c r="D59" s="2">
        <v>45817</v>
      </c>
      <c r="E59" s="3">
        <v>3499497000</v>
      </c>
      <c r="F59">
        <v>16</v>
      </c>
      <c r="G59" s="3">
        <v>174558350</v>
      </c>
      <c r="H59" t="s">
        <v>16</v>
      </c>
      <c r="I59" s="2">
        <v>45961</v>
      </c>
    </row>
    <row r="60" spans="1:9" ht="16" x14ac:dyDescent="0.2">
      <c r="A60" s="4" t="s">
        <v>8</v>
      </c>
      <c r="B60" t="s">
        <v>35</v>
      </c>
      <c r="C60" s="2">
        <v>45250</v>
      </c>
      <c r="D60" s="2">
        <v>45817</v>
      </c>
      <c r="E60" s="3">
        <v>3499497000</v>
      </c>
      <c r="F60">
        <v>17</v>
      </c>
      <c r="G60" s="3">
        <v>207858350</v>
      </c>
      <c r="H60" t="s">
        <v>16</v>
      </c>
      <c r="I60" s="2">
        <v>45989</v>
      </c>
    </row>
    <row r="61" spans="1:9" x14ac:dyDescent="0.2">
      <c r="A61" s="7" t="s">
        <v>11</v>
      </c>
      <c r="B61" t="s">
        <v>36</v>
      </c>
      <c r="C61" s="2">
        <v>45314</v>
      </c>
      <c r="D61" s="2">
        <v>45770</v>
      </c>
      <c r="E61" s="3">
        <v>456654000</v>
      </c>
      <c r="F61">
        <v>1</v>
      </c>
      <c r="G61" s="3">
        <v>40559400</v>
      </c>
      <c r="H61" t="s">
        <v>16</v>
      </c>
      <c r="I61" s="2">
        <v>45316</v>
      </c>
    </row>
    <row r="62" spans="1:9" x14ac:dyDescent="0.2">
      <c r="A62" t="s">
        <v>11</v>
      </c>
      <c r="B62" t="s">
        <v>36</v>
      </c>
      <c r="C62" s="2">
        <v>45314</v>
      </c>
      <c r="D62" s="2">
        <v>45770</v>
      </c>
      <c r="E62" s="3">
        <v>456654000</v>
      </c>
      <c r="F62">
        <v>2</v>
      </c>
      <c r="G62" s="3">
        <v>101398500</v>
      </c>
      <c r="H62" t="s">
        <v>16</v>
      </c>
      <c r="I62" s="2">
        <v>45345</v>
      </c>
    </row>
    <row r="63" spans="1:9" x14ac:dyDescent="0.2">
      <c r="A63" t="s">
        <v>11</v>
      </c>
      <c r="B63" t="s">
        <v>36</v>
      </c>
      <c r="C63" s="2">
        <v>45314</v>
      </c>
      <c r="D63" s="2">
        <v>45770</v>
      </c>
      <c r="E63" s="3">
        <v>456654000</v>
      </c>
      <c r="F63">
        <v>3</v>
      </c>
      <c r="G63" s="3">
        <v>81118800</v>
      </c>
      <c r="H63" t="s">
        <v>16</v>
      </c>
      <c r="I63" s="2">
        <v>45558</v>
      </c>
    </row>
    <row r="64" spans="1:9" x14ac:dyDescent="0.2">
      <c r="A64" t="s">
        <v>11</v>
      </c>
      <c r="B64" t="s">
        <v>36</v>
      </c>
      <c r="C64" s="2">
        <v>45314</v>
      </c>
      <c r="D64" s="2">
        <v>45770</v>
      </c>
      <c r="E64" s="3">
        <v>456654000</v>
      </c>
      <c r="F64">
        <v>4</v>
      </c>
      <c r="G64" s="3">
        <v>116788650</v>
      </c>
      <c r="H64" t="s">
        <v>16</v>
      </c>
      <c r="I64" s="2">
        <v>45695</v>
      </c>
    </row>
    <row r="65" spans="1:9" x14ac:dyDescent="0.2">
      <c r="A65" t="s">
        <v>11</v>
      </c>
      <c r="B65" t="s">
        <v>36</v>
      </c>
      <c r="C65" s="2">
        <v>45314</v>
      </c>
      <c r="D65" s="2">
        <v>45770</v>
      </c>
      <c r="E65" s="3">
        <v>456654000</v>
      </c>
      <c r="F65">
        <v>5</v>
      </c>
      <c r="G65" s="3">
        <v>58394325</v>
      </c>
      <c r="H65" t="s">
        <v>16</v>
      </c>
      <c r="I65" s="2">
        <v>45964</v>
      </c>
    </row>
    <row r="66" spans="1:9" x14ac:dyDescent="0.2">
      <c r="A66" s="7" t="s">
        <v>15</v>
      </c>
      <c r="B66" t="s">
        <v>37</v>
      </c>
      <c r="C66" s="2">
        <v>45455</v>
      </c>
      <c r="D66" s="2">
        <v>46430</v>
      </c>
      <c r="E66" s="3">
        <v>7376372103</v>
      </c>
      <c r="F66">
        <v>1</v>
      </c>
      <c r="G66" s="3">
        <v>2212911631</v>
      </c>
      <c r="H66" t="s">
        <v>16</v>
      </c>
      <c r="I66" s="2">
        <v>45478</v>
      </c>
    </row>
    <row r="67" spans="1:9" x14ac:dyDescent="0.2">
      <c r="A67" t="s">
        <v>15</v>
      </c>
      <c r="B67" t="s">
        <v>37</v>
      </c>
      <c r="C67" s="2">
        <v>45455</v>
      </c>
      <c r="D67" s="2">
        <v>46430</v>
      </c>
      <c r="E67" s="3">
        <v>7376372103</v>
      </c>
      <c r="F67">
        <v>2</v>
      </c>
      <c r="G67" s="3">
        <v>3688186052</v>
      </c>
      <c r="H67" t="s">
        <v>16</v>
      </c>
      <c r="I67" s="2">
        <v>45622</v>
      </c>
    </row>
    <row r="68" spans="1:9" x14ac:dyDescent="0.2">
      <c r="A68" t="s">
        <v>15</v>
      </c>
      <c r="B68" t="s">
        <v>38</v>
      </c>
      <c r="C68" s="2">
        <v>45455</v>
      </c>
      <c r="D68" s="2">
        <v>46430</v>
      </c>
      <c r="E68" s="3">
        <v>929757897</v>
      </c>
      <c r="F68">
        <v>1</v>
      </c>
      <c r="G68" s="3">
        <v>251034632</v>
      </c>
      <c r="H68" t="s">
        <v>16</v>
      </c>
      <c r="I68" s="2">
        <v>45478</v>
      </c>
    </row>
    <row r="69" spans="1:9" x14ac:dyDescent="0.2">
      <c r="A69" t="s">
        <v>15</v>
      </c>
      <c r="B69" t="s">
        <v>38</v>
      </c>
      <c r="C69" s="2">
        <v>45455</v>
      </c>
      <c r="D69" s="2">
        <v>46430</v>
      </c>
      <c r="E69" s="3">
        <v>929757897</v>
      </c>
      <c r="F69">
        <v>2</v>
      </c>
      <c r="G69" s="3">
        <v>175724243</v>
      </c>
      <c r="H69" t="s">
        <v>16</v>
      </c>
      <c r="I69" s="2">
        <v>45849</v>
      </c>
    </row>
    <row r="70" spans="1:9" x14ac:dyDescent="0.2">
      <c r="A70" t="s">
        <v>15</v>
      </c>
      <c r="B70" t="s">
        <v>38</v>
      </c>
      <c r="C70" s="2">
        <v>45455</v>
      </c>
      <c r="D70" s="2">
        <v>46430</v>
      </c>
      <c r="E70" s="3">
        <v>929757897</v>
      </c>
      <c r="F70">
        <v>3</v>
      </c>
      <c r="G70" s="3">
        <v>246013940</v>
      </c>
      <c r="H70" t="s">
        <v>16</v>
      </c>
      <c r="I70" s="2">
        <v>45849</v>
      </c>
    </row>
    <row r="71" spans="1:9" x14ac:dyDescent="0.2">
      <c r="A71" t="s">
        <v>15</v>
      </c>
      <c r="B71" t="s">
        <v>39</v>
      </c>
      <c r="C71" s="2">
        <v>45455</v>
      </c>
      <c r="D71" s="2">
        <v>46430</v>
      </c>
      <c r="E71" s="3">
        <v>1596180000</v>
      </c>
      <c r="F71">
        <v>1</v>
      </c>
      <c r="G71" s="3">
        <v>478854000</v>
      </c>
      <c r="H71" t="s">
        <v>16</v>
      </c>
      <c r="I71" s="2">
        <v>45897</v>
      </c>
    </row>
    <row r="72" spans="1:9" x14ac:dyDescent="0.2">
      <c r="A72" s="7" t="s">
        <v>40</v>
      </c>
      <c r="B72" t="s">
        <v>41</v>
      </c>
      <c r="C72" s="2">
        <v>45826</v>
      </c>
      <c r="D72" s="2">
        <v>46374</v>
      </c>
      <c r="E72" s="3">
        <v>5189250000</v>
      </c>
      <c r="F72">
        <v>1</v>
      </c>
      <c r="G72" s="3">
        <v>2075700000</v>
      </c>
      <c r="H72" t="s">
        <v>16</v>
      </c>
      <c r="I72" s="2">
        <v>45478</v>
      </c>
    </row>
    <row r="73" spans="1:9" x14ac:dyDescent="0.2">
      <c r="A73" t="s">
        <v>40</v>
      </c>
      <c r="B73" t="s">
        <v>41</v>
      </c>
      <c r="C73" s="2">
        <v>45826</v>
      </c>
      <c r="D73" s="2">
        <v>46374</v>
      </c>
      <c r="E73" s="3">
        <v>5189250000</v>
      </c>
      <c r="F73">
        <v>2</v>
      </c>
      <c r="G73" s="3">
        <v>3113550000</v>
      </c>
      <c r="H73" t="s">
        <v>16</v>
      </c>
      <c r="I73" s="2">
        <v>45706</v>
      </c>
    </row>
    <row r="74" spans="1:9" x14ac:dyDescent="0.2">
      <c r="A74" t="s">
        <v>40</v>
      </c>
      <c r="B74" t="s">
        <v>42</v>
      </c>
      <c r="C74" s="2">
        <v>45826</v>
      </c>
      <c r="D74" s="2">
        <v>46374</v>
      </c>
      <c r="E74" s="3">
        <v>969696000</v>
      </c>
      <c r="F74">
        <v>1</v>
      </c>
      <c r="G74" s="3">
        <v>80808000</v>
      </c>
      <c r="H74" t="s">
        <v>16</v>
      </c>
      <c r="I74" s="2">
        <v>45792</v>
      </c>
    </row>
    <row r="75" spans="1:9" x14ac:dyDescent="0.2">
      <c r="A75" t="s">
        <v>40</v>
      </c>
      <c r="B75" t="s">
        <v>42</v>
      </c>
      <c r="C75" s="2">
        <v>45826</v>
      </c>
      <c r="D75" s="2">
        <v>46374</v>
      </c>
      <c r="E75" s="3">
        <v>969696000</v>
      </c>
      <c r="F75">
        <v>2</v>
      </c>
      <c r="G75" s="3">
        <v>80808000</v>
      </c>
      <c r="H75" t="s">
        <v>16</v>
      </c>
      <c r="I75" s="2">
        <v>45810</v>
      </c>
    </row>
    <row r="76" spans="1:9" x14ac:dyDescent="0.2">
      <c r="A76" t="s">
        <v>40</v>
      </c>
      <c r="B76" t="s">
        <v>42</v>
      </c>
      <c r="C76" s="2">
        <v>45826</v>
      </c>
      <c r="D76" s="2">
        <v>46374</v>
      </c>
      <c r="E76" s="3">
        <v>969696000</v>
      </c>
      <c r="F76">
        <v>3</v>
      </c>
      <c r="G76" s="3">
        <v>80808000</v>
      </c>
      <c r="H76" t="s">
        <v>16</v>
      </c>
      <c r="I76" s="2">
        <v>45820</v>
      </c>
    </row>
    <row r="77" spans="1:9" x14ac:dyDescent="0.2">
      <c r="A77" t="s">
        <v>40</v>
      </c>
      <c r="B77" t="s">
        <v>42</v>
      </c>
      <c r="C77" s="2">
        <v>45826</v>
      </c>
      <c r="D77" s="2">
        <v>46374</v>
      </c>
      <c r="E77" s="3">
        <v>969696000</v>
      </c>
      <c r="F77">
        <v>4</v>
      </c>
      <c r="G77" s="3">
        <v>80808000</v>
      </c>
      <c r="H77" t="s">
        <v>16</v>
      </c>
      <c r="I77" s="2">
        <v>45834</v>
      </c>
    </row>
    <row r="78" spans="1:9" x14ac:dyDescent="0.2">
      <c r="A78" t="s">
        <v>40</v>
      </c>
      <c r="B78" t="s">
        <v>42</v>
      </c>
      <c r="C78" s="2">
        <v>45826</v>
      </c>
      <c r="D78" s="2">
        <v>46374</v>
      </c>
      <c r="E78" s="3">
        <v>969696000</v>
      </c>
      <c r="F78">
        <v>5</v>
      </c>
      <c r="G78" s="3">
        <v>80808000</v>
      </c>
      <c r="H78" t="s">
        <v>16</v>
      </c>
      <c r="I78" s="2">
        <v>45846</v>
      </c>
    </row>
    <row r="79" spans="1:9" x14ac:dyDescent="0.2">
      <c r="A79" t="s">
        <v>40</v>
      </c>
      <c r="B79" t="s">
        <v>42</v>
      </c>
      <c r="C79" s="2">
        <v>45826</v>
      </c>
      <c r="D79" s="2">
        <v>46374</v>
      </c>
      <c r="E79" s="3">
        <v>969696000</v>
      </c>
      <c r="F79">
        <v>6</v>
      </c>
      <c r="G79" s="3">
        <v>80808000</v>
      </c>
      <c r="H79" t="s">
        <v>16</v>
      </c>
      <c r="I79" s="2">
        <v>45863</v>
      </c>
    </row>
    <row r="80" spans="1:9" x14ac:dyDescent="0.2">
      <c r="A80" t="s">
        <v>40</v>
      </c>
      <c r="B80" t="s">
        <v>42</v>
      </c>
      <c r="C80" s="2">
        <v>45826</v>
      </c>
      <c r="D80" s="2">
        <v>46374</v>
      </c>
      <c r="E80" s="3">
        <v>969696000</v>
      </c>
      <c r="F80">
        <v>7</v>
      </c>
      <c r="G80" s="3">
        <v>80808000</v>
      </c>
      <c r="H80" t="s">
        <v>16</v>
      </c>
      <c r="I80" s="2">
        <v>45875</v>
      </c>
    </row>
    <row r="81" spans="1:9" x14ac:dyDescent="0.2">
      <c r="A81" t="s">
        <v>40</v>
      </c>
      <c r="B81" t="s">
        <v>42</v>
      </c>
      <c r="C81" s="2">
        <v>45826</v>
      </c>
      <c r="D81" s="2">
        <v>46374</v>
      </c>
      <c r="E81" s="3">
        <v>969696000</v>
      </c>
      <c r="F81">
        <v>8</v>
      </c>
      <c r="G81" s="3">
        <v>80808000</v>
      </c>
      <c r="H81" t="s">
        <v>16</v>
      </c>
      <c r="I81" s="2">
        <v>45884</v>
      </c>
    </row>
    <row r="82" spans="1:9" x14ac:dyDescent="0.2">
      <c r="A82" t="s">
        <v>40</v>
      </c>
      <c r="B82" t="s">
        <v>42</v>
      </c>
      <c r="C82" s="2">
        <v>45826</v>
      </c>
      <c r="D82" s="2">
        <v>46374</v>
      </c>
      <c r="E82" s="3">
        <v>969696000</v>
      </c>
      <c r="F82">
        <v>9</v>
      </c>
      <c r="G82" s="3">
        <v>80808000</v>
      </c>
      <c r="H82" t="s">
        <v>16</v>
      </c>
      <c r="I82" s="2">
        <v>45902</v>
      </c>
    </row>
    <row r="83" spans="1:9" x14ac:dyDescent="0.2">
      <c r="A83" t="s">
        <v>40</v>
      </c>
      <c r="B83" t="s">
        <v>42</v>
      </c>
      <c r="C83" s="2">
        <v>45826</v>
      </c>
      <c r="D83" s="2">
        <v>46374</v>
      </c>
      <c r="E83" s="3">
        <v>969696000</v>
      </c>
      <c r="F83">
        <v>10</v>
      </c>
      <c r="G83" s="3">
        <v>80808000</v>
      </c>
      <c r="H83" t="s">
        <v>16</v>
      </c>
      <c r="I83" s="2">
        <v>45919</v>
      </c>
    </row>
    <row r="84" spans="1:9" x14ac:dyDescent="0.2">
      <c r="A84" t="s">
        <v>40</v>
      </c>
      <c r="B84" t="s">
        <v>42</v>
      </c>
      <c r="C84" s="2">
        <v>45826</v>
      </c>
      <c r="D84" s="2">
        <v>46374</v>
      </c>
      <c r="E84" s="3">
        <v>969696000</v>
      </c>
      <c r="F84">
        <v>11</v>
      </c>
      <c r="G84" s="3">
        <v>80808000</v>
      </c>
      <c r="H84" t="s">
        <v>16</v>
      </c>
      <c r="I84" s="2">
        <v>45938</v>
      </c>
    </row>
    <row r="85" spans="1:9" x14ac:dyDescent="0.2">
      <c r="A85" t="s">
        <v>40</v>
      </c>
      <c r="B85" t="s">
        <v>42</v>
      </c>
      <c r="C85" s="2">
        <v>45826</v>
      </c>
      <c r="D85" s="2">
        <v>46374</v>
      </c>
      <c r="E85" s="3">
        <v>969696000</v>
      </c>
      <c r="F85">
        <v>12</v>
      </c>
      <c r="G85" s="3">
        <v>80808000</v>
      </c>
      <c r="H85" t="s">
        <v>16</v>
      </c>
      <c r="I85" s="2">
        <v>45951</v>
      </c>
    </row>
    <row r="86" spans="1:9" x14ac:dyDescent="0.2">
      <c r="A86" t="s">
        <v>40</v>
      </c>
      <c r="B86" t="s">
        <v>42</v>
      </c>
      <c r="C86" s="2">
        <v>45826</v>
      </c>
      <c r="D86" s="2">
        <v>46374</v>
      </c>
      <c r="E86" s="3">
        <v>969696000</v>
      </c>
      <c r="F86">
        <v>13</v>
      </c>
      <c r="G86" s="3">
        <v>80808000</v>
      </c>
      <c r="H86" t="s">
        <v>16</v>
      </c>
      <c r="I86" s="2">
        <v>45972</v>
      </c>
    </row>
    <row r="87" spans="1:9" x14ac:dyDescent="0.2">
      <c r="A87" t="s">
        <v>40</v>
      </c>
      <c r="B87" t="s">
        <v>42</v>
      </c>
      <c r="C87" s="2">
        <v>45826</v>
      </c>
      <c r="D87" s="2">
        <v>46374</v>
      </c>
      <c r="E87" s="3">
        <v>969696000</v>
      </c>
      <c r="F87">
        <v>14</v>
      </c>
      <c r="G87" s="3">
        <v>80808000</v>
      </c>
      <c r="H87" t="s">
        <v>16</v>
      </c>
      <c r="I87" s="2">
        <v>45989</v>
      </c>
    </row>
    <row r="88" spans="1:9" x14ac:dyDescent="0.2">
      <c r="A88" t="s">
        <v>40</v>
      </c>
      <c r="B88" t="s">
        <v>43</v>
      </c>
      <c r="C88" s="2">
        <v>45826</v>
      </c>
      <c r="D88" s="2">
        <v>46374</v>
      </c>
      <c r="E88" s="3">
        <v>1526250000</v>
      </c>
      <c r="F88">
        <v>1</v>
      </c>
      <c r="G88" s="3">
        <v>610500000</v>
      </c>
      <c r="H88" t="s">
        <v>16</v>
      </c>
      <c r="I88" s="2">
        <v>45478</v>
      </c>
    </row>
    <row r="89" spans="1:9" x14ac:dyDescent="0.2">
      <c r="A89" t="s">
        <v>40</v>
      </c>
      <c r="B89" t="s">
        <v>43</v>
      </c>
      <c r="C89" s="2">
        <v>45826</v>
      </c>
      <c r="D89" s="2">
        <v>46374</v>
      </c>
      <c r="E89" s="3">
        <v>1526250000</v>
      </c>
      <c r="F89">
        <v>2</v>
      </c>
      <c r="G89" s="3">
        <v>763125000</v>
      </c>
      <c r="H89" t="s">
        <v>16</v>
      </c>
      <c r="I89" s="2">
        <v>45706</v>
      </c>
    </row>
    <row r="90" spans="1:9" x14ac:dyDescent="0.2">
      <c r="A90" s="7" t="s">
        <v>7</v>
      </c>
      <c r="B90" t="s">
        <v>44</v>
      </c>
      <c r="C90" s="2">
        <v>45478</v>
      </c>
      <c r="D90" s="2">
        <v>46081</v>
      </c>
      <c r="E90" s="3">
        <v>57172637747</v>
      </c>
      <c r="F90">
        <v>1</v>
      </c>
      <c r="G90" s="3">
        <v>33197400000</v>
      </c>
      <c r="H90" t="s">
        <v>16</v>
      </c>
      <c r="I90" s="2">
        <v>45478</v>
      </c>
    </row>
    <row r="91" spans="1:9" x14ac:dyDescent="0.2">
      <c r="A91" t="s">
        <v>7</v>
      </c>
      <c r="B91" t="s">
        <v>44</v>
      </c>
      <c r="C91" s="2">
        <v>45478</v>
      </c>
      <c r="D91" s="2">
        <v>46081</v>
      </c>
      <c r="E91" s="3">
        <v>57172637747</v>
      </c>
      <c r="F91">
        <v>2</v>
      </c>
      <c r="G91" s="3">
        <v>8892167738</v>
      </c>
      <c r="H91" t="s">
        <v>16</v>
      </c>
      <c r="I91" s="2">
        <v>45579</v>
      </c>
    </row>
    <row r="92" spans="1:9" x14ac:dyDescent="0.2">
      <c r="A92" t="s">
        <v>7</v>
      </c>
      <c r="B92" t="s">
        <v>44</v>
      </c>
      <c r="C92" s="2">
        <v>45478</v>
      </c>
      <c r="D92" s="2">
        <v>46081</v>
      </c>
      <c r="E92" s="3">
        <v>57172637747</v>
      </c>
      <c r="F92">
        <v>3</v>
      </c>
      <c r="G92" s="3">
        <v>8892160174</v>
      </c>
      <c r="H92" t="s">
        <v>16</v>
      </c>
      <c r="I92" s="2">
        <v>45702</v>
      </c>
    </row>
    <row r="93" spans="1:9" x14ac:dyDescent="0.2">
      <c r="A93" t="s">
        <v>7</v>
      </c>
      <c r="B93" t="s">
        <v>44</v>
      </c>
      <c r="C93" s="2">
        <v>45478</v>
      </c>
      <c r="D93" s="2">
        <v>46081</v>
      </c>
      <c r="E93" s="3">
        <v>57172637747</v>
      </c>
      <c r="F93">
        <v>4</v>
      </c>
      <c r="G93" s="3">
        <v>3198000000</v>
      </c>
      <c r="H93" t="s">
        <v>16</v>
      </c>
      <c r="I93" s="2">
        <v>45819</v>
      </c>
    </row>
    <row r="94" spans="1:9" x14ac:dyDescent="0.2">
      <c r="A94" t="s">
        <v>7</v>
      </c>
      <c r="B94" t="s">
        <v>44</v>
      </c>
      <c r="C94" s="2">
        <v>45478</v>
      </c>
      <c r="D94" s="2">
        <v>46081</v>
      </c>
      <c r="E94" s="3">
        <v>57172637747</v>
      </c>
      <c r="F94">
        <v>5</v>
      </c>
      <c r="G94" s="3">
        <v>1563600376</v>
      </c>
      <c r="H94" t="s">
        <v>16</v>
      </c>
      <c r="I94" s="2">
        <v>45989</v>
      </c>
    </row>
    <row r="95" spans="1:9" x14ac:dyDescent="0.2">
      <c r="A95" s="7" t="s">
        <v>13</v>
      </c>
      <c r="B95" t="s">
        <v>45</v>
      </c>
      <c r="C95" s="2">
        <v>45516</v>
      </c>
      <c r="D95" s="2">
        <v>46186</v>
      </c>
      <c r="E95" s="3">
        <v>2296247653</v>
      </c>
      <c r="F95">
        <v>1</v>
      </c>
      <c r="G95" s="3">
        <v>2186902527</v>
      </c>
      <c r="H95" t="s">
        <v>16</v>
      </c>
      <c r="I95" s="2">
        <v>45520</v>
      </c>
    </row>
    <row r="96" spans="1:9" x14ac:dyDescent="0.2">
      <c r="A96" t="s">
        <v>13</v>
      </c>
      <c r="B96" t="s">
        <v>45</v>
      </c>
      <c r="C96" s="2">
        <v>45516</v>
      </c>
      <c r="D96" s="2">
        <v>46186</v>
      </c>
      <c r="E96" s="3">
        <v>2296247653</v>
      </c>
      <c r="F96">
        <v>2</v>
      </c>
      <c r="G96" s="3">
        <v>656070758</v>
      </c>
      <c r="H96" t="s">
        <v>16</v>
      </c>
      <c r="I96" s="2">
        <v>45664</v>
      </c>
    </row>
    <row r="97" spans="1:15" x14ac:dyDescent="0.2">
      <c r="A97" t="s">
        <v>13</v>
      </c>
      <c r="B97" t="s">
        <v>45</v>
      </c>
      <c r="C97" s="2">
        <v>45516</v>
      </c>
      <c r="D97" s="2">
        <v>46186</v>
      </c>
      <c r="E97" s="3">
        <v>2296247653</v>
      </c>
      <c r="F97">
        <v>3</v>
      </c>
      <c r="G97" s="3">
        <v>-546725632</v>
      </c>
      <c r="H97" t="s">
        <v>16</v>
      </c>
      <c r="I97" s="2">
        <v>45784</v>
      </c>
    </row>
    <row r="98" spans="1:15" x14ac:dyDescent="0.2">
      <c r="A98" s="7" t="s">
        <v>9</v>
      </c>
      <c r="B98" t="s">
        <v>46</v>
      </c>
      <c r="C98" s="2">
        <v>45545</v>
      </c>
      <c r="D98" s="2">
        <v>45880</v>
      </c>
      <c r="E98" s="3">
        <v>3120776655</v>
      </c>
      <c r="F98">
        <v>1</v>
      </c>
      <c r="G98" s="3">
        <v>605063669</v>
      </c>
      <c r="H98" t="s">
        <v>16</v>
      </c>
      <c r="I98" s="2">
        <v>45552</v>
      </c>
    </row>
    <row r="99" spans="1:15" x14ac:dyDescent="0.2">
      <c r="A99" t="s">
        <v>9</v>
      </c>
      <c r="B99" t="s">
        <v>46</v>
      </c>
      <c r="C99" s="2">
        <v>45545</v>
      </c>
      <c r="D99" s="2">
        <v>45880</v>
      </c>
      <c r="E99" s="3">
        <v>3120776655</v>
      </c>
      <c r="F99">
        <v>2</v>
      </c>
      <c r="G99" s="3">
        <v>680664484</v>
      </c>
      <c r="H99" t="s">
        <v>16</v>
      </c>
      <c r="I99" s="2">
        <v>45630</v>
      </c>
    </row>
    <row r="100" spans="1:15" x14ac:dyDescent="0.2">
      <c r="A100" t="s">
        <v>9</v>
      </c>
      <c r="B100" t="s">
        <v>46</v>
      </c>
      <c r="C100" s="2">
        <v>45545</v>
      </c>
      <c r="D100" s="2">
        <v>45880</v>
      </c>
      <c r="E100" s="3">
        <v>3120776655</v>
      </c>
      <c r="F100">
        <v>3</v>
      </c>
      <c r="G100" s="3">
        <v>514291261</v>
      </c>
      <c r="H100" t="s">
        <v>16</v>
      </c>
      <c r="I100" s="2">
        <v>45671</v>
      </c>
    </row>
    <row r="101" spans="1:15" x14ac:dyDescent="0.2">
      <c r="A101" t="s">
        <v>9</v>
      </c>
      <c r="B101" t="s">
        <v>46</v>
      </c>
      <c r="C101" s="2">
        <v>45545</v>
      </c>
      <c r="D101" s="2">
        <v>45880</v>
      </c>
      <c r="E101" s="3">
        <v>3120776655</v>
      </c>
      <c r="F101">
        <v>4</v>
      </c>
      <c r="G101" s="3">
        <v>334289320</v>
      </c>
      <c r="H101" t="s">
        <v>16</v>
      </c>
      <c r="I101" s="2">
        <v>45768</v>
      </c>
    </row>
    <row r="102" spans="1:15" x14ac:dyDescent="0.2">
      <c r="A102" t="s">
        <v>9</v>
      </c>
      <c r="B102" t="s">
        <v>46</v>
      </c>
      <c r="C102" s="2">
        <v>45545</v>
      </c>
      <c r="D102" s="2">
        <v>45880</v>
      </c>
      <c r="E102" s="3">
        <v>3120776655</v>
      </c>
      <c r="F102">
        <v>5</v>
      </c>
      <c r="G102" s="3">
        <v>337195128</v>
      </c>
      <c r="H102" t="s">
        <v>16</v>
      </c>
      <c r="I102" s="2">
        <v>45828</v>
      </c>
      <c r="N102" s="5"/>
      <c r="O102" s="5"/>
    </row>
    <row r="103" spans="1:15" x14ac:dyDescent="0.2">
      <c r="A103" t="s">
        <v>9</v>
      </c>
      <c r="B103" t="s">
        <v>46</v>
      </c>
      <c r="C103" s="2">
        <v>45545</v>
      </c>
      <c r="D103" s="2">
        <v>45880</v>
      </c>
      <c r="E103" s="3">
        <v>3120776655</v>
      </c>
      <c r="F103">
        <v>6</v>
      </c>
      <c r="G103" s="3">
        <v>337195128</v>
      </c>
      <c r="H103" t="s">
        <v>16</v>
      </c>
      <c r="I103" s="2">
        <v>45875</v>
      </c>
      <c r="N103" s="5"/>
      <c r="O103" s="5"/>
    </row>
    <row r="104" spans="1:15" x14ac:dyDescent="0.2">
      <c r="A104" t="s">
        <v>9</v>
      </c>
      <c r="B104" t="s">
        <v>46</v>
      </c>
      <c r="C104" s="2">
        <v>45545</v>
      </c>
      <c r="D104" s="2">
        <v>45880</v>
      </c>
      <c r="E104" s="3">
        <v>3120776655</v>
      </c>
      <c r="F104">
        <v>7</v>
      </c>
      <c r="G104" s="3">
        <v>156038833</v>
      </c>
      <c r="H104" t="s">
        <v>16</v>
      </c>
      <c r="I104" s="2">
        <v>45938</v>
      </c>
      <c r="N104" s="5"/>
      <c r="O104" s="5"/>
    </row>
    <row r="105" spans="1:15" x14ac:dyDescent="0.2">
      <c r="A105" s="7" t="s">
        <v>47</v>
      </c>
      <c r="B105" t="s">
        <v>48</v>
      </c>
      <c r="C105" s="2">
        <v>45474</v>
      </c>
      <c r="D105" s="2">
        <v>46197</v>
      </c>
      <c r="E105" s="3">
        <v>86580000</v>
      </c>
      <c r="F105">
        <v>1</v>
      </c>
      <c r="G105" s="3">
        <v>2775000</v>
      </c>
      <c r="H105" t="s">
        <v>16</v>
      </c>
      <c r="I105" s="2">
        <v>45505</v>
      </c>
      <c r="N105" s="5"/>
      <c r="O105" s="5"/>
    </row>
    <row r="106" spans="1:15" x14ac:dyDescent="0.2">
      <c r="A106" t="s">
        <v>47</v>
      </c>
      <c r="B106" t="s">
        <v>48</v>
      </c>
      <c r="C106" s="2">
        <v>45474</v>
      </c>
      <c r="D106" s="2">
        <v>46197</v>
      </c>
      <c r="E106" s="3">
        <v>86580000</v>
      </c>
      <c r="F106">
        <v>2</v>
      </c>
      <c r="G106" s="3">
        <v>2775000</v>
      </c>
      <c r="H106" t="s">
        <v>16</v>
      </c>
      <c r="I106" s="2">
        <v>45538</v>
      </c>
      <c r="N106" s="5"/>
      <c r="O106" s="5"/>
    </row>
    <row r="107" spans="1:15" x14ac:dyDescent="0.2">
      <c r="A107" t="s">
        <v>47</v>
      </c>
      <c r="B107" t="s">
        <v>48</v>
      </c>
      <c r="C107" s="2">
        <v>45474</v>
      </c>
      <c r="D107" s="2">
        <v>46197</v>
      </c>
      <c r="E107" s="3">
        <v>86580000</v>
      </c>
      <c r="F107">
        <v>3</v>
      </c>
      <c r="G107" s="3">
        <v>2775000</v>
      </c>
      <c r="H107" t="s">
        <v>16</v>
      </c>
      <c r="I107" s="2">
        <v>45573</v>
      </c>
      <c r="N107" s="5"/>
      <c r="O107" s="5"/>
    </row>
    <row r="108" spans="1:15" x14ac:dyDescent="0.2">
      <c r="A108" t="s">
        <v>47</v>
      </c>
      <c r="B108" t="s">
        <v>48</v>
      </c>
      <c r="C108" s="2">
        <v>45474</v>
      </c>
      <c r="D108" s="2">
        <v>46197</v>
      </c>
      <c r="E108" s="3">
        <v>86580000</v>
      </c>
      <c r="F108">
        <v>4</v>
      </c>
      <c r="G108" s="3">
        <v>2775000</v>
      </c>
      <c r="H108" t="s">
        <v>16</v>
      </c>
      <c r="I108" s="2">
        <v>45597</v>
      </c>
      <c r="N108" s="5"/>
      <c r="O108" s="5"/>
    </row>
    <row r="109" spans="1:15" x14ac:dyDescent="0.2">
      <c r="A109" t="s">
        <v>47</v>
      </c>
      <c r="B109" t="s">
        <v>48</v>
      </c>
      <c r="C109" s="2">
        <v>45474</v>
      </c>
      <c r="D109" s="2">
        <v>46197</v>
      </c>
      <c r="E109" s="3">
        <v>86580000</v>
      </c>
      <c r="F109">
        <v>5</v>
      </c>
      <c r="G109" s="3">
        <v>2775000</v>
      </c>
      <c r="H109" t="s">
        <v>16</v>
      </c>
      <c r="I109" s="2">
        <v>45629</v>
      </c>
      <c r="N109" s="5"/>
      <c r="O109" s="5"/>
    </row>
    <row r="110" spans="1:15" x14ac:dyDescent="0.2">
      <c r="A110" t="s">
        <v>47</v>
      </c>
      <c r="B110" t="s">
        <v>48</v>
      </c>
      <c r="C110" s="2">
        <v>45474</v>
      </c>
      <c r="D110" s="2">
        <v>46197</v>
      </c>
      <c r="E110" s="3">
        <v>86580000</v>
      </c>
      <c r="F110">
        <v>6</v>
      </c>
      <c r="G110" s="3">
        <v>2775000</v>
      </c>
      <c r="H110" t="s">
        <v>16</v>
      </c>
      <c r="I110" s="2">
        <v>45298</v>
      </c>
      <c r="N110" s="5"/>
      <c r="O110" s="5"/>
    </row>
    <row r="111" spans="1:15" x14ac:dyDescent="0.2">
      <c r="A111" t="s">
        <v>47</v>
      </c>
      <c r="B111" t="s">
        <v>48</v>
      </c>
      <c r="C111" s="2">
        <v>45474</v>
      </c>
      <c r="D111" s="2">
        <v>46197</v>
      </c>
      <c r="E111" s="3">
        <v>86580000</v>
      </c>
      <c r="F111">
        <v>7</v>
      </c>
      <c r="G111" s="3">
        <v>2775000</v>
      </c>
      <c r="H111" t="s">
        <v>16</v>
      </c>
      <c r="I111" s="2">
        <v>45688</v>
      </c>
      <c r="N111" s="5"/>
      <c r="O111" s="5"/>
    </row>
    <row r="112" spans="1:15" x14ac:dyDescent="0.2">
      <c r="A112" t="s">
        <v>47</v>
      </c>
      <c r="B112" t="s">
        <v>48</v>
      </c>
      <c r="C112" s="2">
        <v>45474</v>
      </c>
      <c r="D112" s="2">
        <v>46197</v>
      </c>
      <c r="E112" s="3">
        <v>86580000</v>
      </c>
      <c r="F112">
        <v>8</v>
      </c>
      <c r="G112" s="3">
        <v>2775000</v>
      </c>
      <c r="H112" t="s">
        <v>16</v>
      </c>
      <c r="I112" s="2">
        <v>45720</v>
      </c>
      <c r="N112" s="5"/>
      <c r="O112" s="5"/>
    </row>
    <row r="113" spans="1:15" x14ac:dyDescent="0.2">
      <c r="A113" t="s">
        <v>47</v>
      </c>
      <c r="B113" t="s">
        <v>48</v>
      </c>
      <c r="C113" s="2">
        <v>45474</v>
      </c>
      <c r="D113" s="2">
        <v>46197</v>
      </c>
      <c r="E113" s="3">
        <v>86580000</v>
      </c>
      <c r="F113">
        <v>9</v>
      </c>
      <c r="G113" s="3">
        <v>2775000</v>
      </c>
      <c r="H113" t="s">
        <v>16</v>
      </c>
      <c r="I113" s="2">
        <v>45744</v>
      </c>
      <c r="N113" s="5"/>
      <c r="O113" s="5"/>
    </row>
    <row r="114" spans="1:15" x14ac:dyDescent="0.2">
      <c r="A114" t="s">
        <v>47</v>
      </c>
      <c r="B114" t="s">
        <v>48</v>
      </c>
      <c r="C114" s="2">
        <v>45474</v>
      </c>
      <c r="D114" s="2">
        <v>46197</v>
      </c>
      <c r="E114" s="3">
        <v>86580000</v>
      </c>
      <c r="F114">
        <v>10</v>
      </c>
      <c r="G114" s="3">
        <v>2775000</v>
      </c>
      <c r="H114" t="s">
        <v>16</v>
      </c>
      <c r="I114" s="2">
        <v>45786</v>
      </c>
      <c r="N114" s="5"/>
      <c r="O114" s="5"/>
    </row>
    <row r="115" spans="1:15" x14ac:dyDescent="0.2">
      <c r="A115" t="s">
        <v>47</v>
      </c>
      <c r="B115" t="s">
        <v>48</v>
      </c>
      <c r="C115" s="2">
        <v>45474</v>
      </c>
      <c r="D115" s="2">
        <v>46197</v>
      </c>
      <c r="E115" s="3">
        <v>86580000</v>
      </c>
      <c r="F115">
        <v>11</v>
      </c>
      <c r="G115" s="3">
        <v>9810000</v>
      </c>
      <c r="H115" t="s">
        <v>16</v>
      </c>
      <c r="I115" s="2">
        <v>45805</v>
      </c>
      <c r="N115" s="5"/>
      <c r="O115" s="5"/>
    </row>
    <row r="116" spans="1:15" x14ac:dyDescent="0.2">
      <c r="A116" t="s">
        <v>47</v>
      </c>
      <c r="B116" t="s">
        <v>48</v>
      </c>
      <c r="C116" s="2">
        <v>45474</v>
      </c>
      <c r="D116" s="2">
        <v>46197</v>
      </c>
      <c r="E116" s="3">
        <v>86580000</v>
      </c>
      <c r="F116">
        <v>12</v>
      </c>
      <c r="G116" s="3">
        <v>2775000</v>
      </c>
      <c r="H116" t="s">
        <v>16</v>
      </c>
      <c r="I116" s="2">
        <v>45813</v>
      </c>
      <c r="N116" s="5"/>
      <c r="O116" s="5"/>
    </row>
    <row r="117" spans="1:15" x14ac:dyDescent="0.2">
      <c r="A117" t="s">
        <v>47</v>
      </c>
      <c r="B117" t="s">
        <v>48</v>
      </c>
      <c r="C117" s="2">
        <v>45474</v>
      </c>
      <c r="D117" s="2">
        <v>46197</v>
      </c>
      <c r="E117" s="3">
        <v>86580000</v>
      </c>
      <c r="F117">
        <v>13</v>
      </c>
      <c r="G117" s="3">
        <v>2775000</v>
      </c>
      <c r="H117" t="s">
        <v>16</v>
      </c>
      <c r="I117" s="2">
        <v>45841</v>
      </c>
      <c r="N117" s="5"/>
      <c r="O117" s="5"/>
    </row>
    <row r="118" spans="1:15" x14ac:dyDescent="0.2">
      <c r="A118" t="s">
        <v>47</v>
      </c>
      <c r="B118" t="s">
        <v>48</v>
      </c>
      <c r="C118" s="2">
        <v>45474</v>
      </c>
      <c r="D118" s="2">
        <v>46197</v>
      </c>
      <c r="E118" s="3">
        <v>86580000</v>
      </c>
      <c r="F118">
        <v>14</v>
      </c>
      <c r="G118" s="3">
        <v>2775000</v>
      </c>
      <c r="H118" t="s">
        <v>16</v>
      </c>
      <c r="I118" s="2">
        <v>45884</v>
      </c>
      <c r="N118" s="5"/>
      <c r="O118" s="5"/>
    </row>
    <row r="119" spans="1:15" x14ac:dyDescent="0.2">
      <c r="A119" t="s">
        <v>47</v>
      </c>
      <c r="B119" t="s">
        <v>48</v>
      </c>
      <c r="C119" s="2">
        <v>45474</v>
      </c>
      <c r="D119" s="2">
        <v>46197</v>
      </c>
      <c r="E119" s="3">
        <v>86580000</v>
      </c>
      <c r="F119">
        <v>15</v>
      </c>
      <c r="G119" s="3">
        <v>2775000</v>
      </c>
      <c r="H119" t="s">
        <v>16</v>
      </c>
      <c r="I119" s="2">
        <v>45902</v>
      </c>
      <c r="N119" s="5"/>
      <c r="O119" s="5"/>
    </row>
    <row r="120" spans="1:15" x14ac:dyDescent="0.2">
      <c r="A120" t="s">
        <v>47</v>
      </c>
      <c r="B120" t="s">
        <v>48</v>
      </c>
      <c r="C120" s="2">
        <v>45474</v>
      </c>
      <c r="D120" s="2">
        <v>46197</v>
      </c>
      <c r="E120" s="3">
        <v>86580000</v>
      </c>
      <c r="F120">
        <v>16</v>
      </c>
      <c r="G120" s="3">
        <v>2775000</v>
      </c>
      <c r="H120" t="s">
        <v>16</v>
      </c>
      <c r="I120" s="2">
        <v>45936</v>
      </c>
      <c r="N120" s="5"/>
      <c r="O120" s="5"/>
    </row>
    <row r="121" spans="1:15" x14ac:dyDescent="0.2">
      <c r="A121" t="s">
        <v>47</v>
      </c>
      <c r="B121" t="s">
        <v>48</v>
      </c>
      <c r="C121" s="2">
        <v>45474</v>
      </c>
      <c r="D121" s="2">
        <v>46197</v>
      </c>
      <c r="E121" s="3">
        <v>86580000</v>
      </c>
      <c r="F121">
        <v>17</v>
      </c>
      <c r="G121" s="3">
        <v>2775000</v>
      </c>
      <c r="H121" t="s">
        <v>16</v>
      </c>
      <c r="I121" s="2">
        <v>45961</v>
      </c>
      <c r="N121" s="5"/>
      <c r="O121" s="5"/>
    </row>
    <row r="122" spans="1:15" x14ac:dyDescent="0.2">
      <c r="A122" t="s">
        <v>47</v>
      </c>
      <c r="B122" t="s">
        <v>48</v>
      </c>
      <c r="C122" s="2">
        <v>45474</v>
      </c>
      <c r="D122" s="2">
        <v>46197</v>
      </c>
      <c r="E122" s="3">
        <v>86580000</v>
      </c>
      <c r="F122">
        <v>18</v>
      </c>
      <c r="G122" s="3">
        <v>2775000</v>
      </c>
      <c r="H122" t="s">
        <v>16</v>
      </c>
      <c r="I122" s="2">
        <v>45989</v>
      </c>
      <c r="N122" s="5"/>
      <c r="O122" s="5"/>
    </row>
    <row r="123" spans="1:15" ht="14.5" customHeight="1" x14ac:dyDescent="0.2">
      <c r="A123" s="7" t="s">
        <v>49</v>
      </c>
      <c r="B123" t="s">
        <v>50</v>
      </c>
      <c r="C123" s="2">
        <v>45502</v>
      </c>
      <c r="D123" s="2">
        <v>46232</v>
      </c>
      <c r="E123" s="3">
        <v>360000000</v>
      </c>
      <c r="F123">
        <v>1</v>
      </c>
      <c r="G123" s="3">
        <v>360000000</v>
      </c>
      <c r="H123" t="s">
        <v>16</v>
      </c>
      <c r="I123" s="2">
        <v>45512</v>
      </c>
      <c r="N123" s="5"/>
      <c r="O123" s="5"/>
    </row>
    <row r="124" spans="1:15" ht="15" customHeight="1" x14ac:dyDescent="0.2">
      <c r="A124" s="7" t="s">
        <v>51</v>
      </c>
      <c r="B124" t="s">
        <v>52</v>
      </c>
      <c r="C124" s="2">
        <v>45170</v>
      </c>
      <c r="D124" s="2">
        <v>45901</v>
      </c>
      <c r="E124" s="3">
        <v>408000000</v>
      </c>
      <c r="F124">
        <v>1</v>
      </c>
      <c r="G124" s="3">
        <v>408000000</v>
      </c>
      <c r="H124" t="s">
        <v>16</v>
      </c>
      <c r="I124" s="2">
        <v>45528</v>
      </c>
      <c r="N124" s="5"/>
      <c r="O124" s="5"/>
    </row>
    <row r="125" spans="1:15" ht="14.5" customHeight="1" x14ac:dyDescent="0.2">
      <c r="A125" s="7" t="s">
        <v>53</v>
      </c>
      <c r="B125" t="s">
        <v>54</v>
      </c>
      <c r="C125" s="2">
        <v>45574</v>
      </c>
      <c r="D125" s="2">
        <v>45818</v>
      </c>
      <c r="E125" s="3">
        <v>18333333</v>
      </c>
      <c r="F125">
        <v>1</v>
      </c>
      <c r="G125" s="3">
        <v>18333333</v>
      </c>
      <c r="H125" t="s">
        <v>16</v>
      </c>
      <c r="I125" s="2">
        <v>45580</v>
      </c>
      <c r="N125" s="5"/>
      <c r="O125" s="5"/>
    </row>
    <row r="126" spans="1:15" ht="15" customHeight="1" x14ac:dyDescent="0.2">
      <c r="A126" s="7" t="s">
        <v>55</v>
      </c>
      <c r="B126" t="s">
        <v>56</v>
      </c>
      <c r="C126" s="2">
        <v>45583</v>
      </c>
      <c r="D126" s="2">
        <v>45786</v>
      </c>
      <c r="E126" s="3">
        <v>65000000</v>
      </c>
      <c r="F126">
        <v>1</v>
      </c>
      <c r="G126" s="3">
        <v>32500000</v>
      </c>
      <c r="H126" t="s">
        <v>16</v>
      </c>
      <c r="I126" s="2">
        <v>45593</v>
      </c>
      <c r="N126" s="5"/>
      <c r="O126" s="5"/>
    </row>
    <row r="127" spans="1:15" x14ac:dyDescent="0.2">
      <c r="A127" t="s">
        <v>55</v>
      </c>
      <c r="B127" t="s">
        <v>56</v>
      </c>
      <c r="C127" s="2">
        <v>45583</v>
      </c>
      <c r="D127" s="2">
        <v>45786</v>
      </c>
      <c r="E127" s="3">
        <v>65000000</v>
      </c>
      <c r="F127">
        <v>2</v>
      </c>
      <c r="G127" s="3">
        <v>32500000</v>
      </c>
      <c r="H127" t="s">
        <v>16</v>
      </c>
      <c r="I127" s="2">
        <v>45786</v>
      </c>
      <c r="N127" s="5"/>
      <c r="O127" s="5"/>
    </row>
    <row r="128" spans="1:15" x14ac:dyDescent="0.2">
      <c r="A128" s="7" t="s">
        <v>12</v>
      </c>
      <c r="B128" t="s">
        <v>83</v>
      </c>
      <c r="C128" s="2">
        <v>45589</v>
      </c>
      <c r="D128" s="2">
        <v>46350</v>
      </c>
      <c r="E128" s="3">
        <v>2049539209.2000003</v>
      </c>
      <c r="F128">
        <v>1</v>
      </c>
      <c r="G128" s="3">
        <v>130601268</v>
      </c>
      <c r="H128" t="s">
        <v>16</v>
      </c>
      <c r="I128" s="2">
        <v>45602</v>
      </c>
      <c r="N128" s="5"/>
      <c r="O128" s="5"/>
    </row>
    <row r="129" spans="1:15" x14ac:dyDescent="0.2">
      <c r="A129" t="s">
        <v>12</v>
      </c>
      <c r="B129" t="s">
        <v>83</v>
      </c>
      <c r="C129" s="2">
        <v>45589</v>
      </c>
      <c r="D129" s="2">
        <v>46350</v>
      </c>
      <c r="E129" s="3">
        <v>2049539209.2000003</v>
      </c>
      <c r="F129">
        <v>2</v>
      </c>
      <c r="G129" s="3">
        <v>292726980</v>
      </c>
      <c r="H129" t="s">
        <v>16</v>
      </c>
      <c r="I129" s="2">
        <v>45602</v>
      </c>
      <c r="N129" s="5"/>
      <c r="O129" s="5"/>
    </row>
    <row r="130" spans="1:15" x14ac:dyDescent="0.2">
      <c r="A130" t="s">
        <v>12</v>
      </c>
      <c r="B130" t="s">
        <v>83</v>
      </c>
      <c r="C130" s="2">
        <v>45589</v>
      </c>
      <c r="D130" s="2">
        <v>46350</v>
      </c>
      <c r="E130" s="3">
        <v>2049539209.2000003</v>
      </c>
      <c r="F130">
        <v>3</v>
      </c>
      <c r="G130" s="3">
        <v>130601268</v>
      </c>
      <c r="H130" t="s">
        <v>16</v>
      </c>
      <c r="I130" s="2">
        <v>45602</v>
      </c>
      <c r="N130" s="5"/>
      <c r="O130" s="5"/>
    </row>
    <row r="131" spans="1:15" x14ac:dyDescent="0.2">
      <c r="A131" t="s">
        <v>12</v>
      </c>
      <c r="B131" t="s">
        <v>83</v>
      </c>
      <c r="C131" s="2">
        <v>45589</v>
      </c>
      <c r="D131" s="2">
        <v>46350</v>
      </c>
      <c r="E131" s="3">
        <v>2049539209.2000003</v>
      </c>
      <c r="F131">
        <v>4</v>
      </c>
      <c r="G131" s="3">
        <v>81323039</v>
      </c>
      <c r="H131" t="s">
        <v>16</v>
      </c>
      <c r="I131" s="2">
        <v>45768</v>
      </c>
      <c r="N131" s="5"/>
      <c r="O131" s="5"/>
    </row>
    <row r="132" spans="1:15" x14ac:dyDescent="0.2">
      <c r="A132" t="s">
        <v>12</v>
      </c>
      <c r="B132" t="s">
        <v>83</v>
      </c>
      <c r="C132" s="2">
        <v>45589</v>
      </c>
      <c r="D132" s="2">
        <v>46350</v>
      </c>
      <c r="E132" s="3">
        <v>2049539209.2000003</v>
      </c>
      <c r="F132">
        <v>5</v>
      </c>
      <c r="G132" s="3">
        <v>292726980</v>
      </c>
      <c r="H132" t="s">
        <v>16</v>
      </c>
      <c r="I132" s="2">
        <v>45768</v>
      </c>
      <c r="N132" s="5"/>
      <c r="O132" s="5"/>
    </row>
    <row r="133" spans="1:15" x14ac:dyDescent="0.2">
      <c r="A133" t="s">
        <v>12</v>
      </c>
      <c r="B133" t="s">
        <v>83</v>
      </c>
      <c r="C133" s="2">
        <v>45589</v>
      </c>
      <c r="D133" s="2">
        <v>46350</v>
      </c>
      <c r="E133" s="3">
        <v>2049539209.2000003</v>
      </c>
      <c r="F133">
        <v>6</v>
      </c>
      <c r="G133" s="3">
        <v>81323039</v>
      </c>
      <c r="H133" t="s">
        <v>16</v>
      </c>
      <c r="I133" s="2">
        <v>45768</v>
      </c>
      <c r="N133" s="5"/>
      <c r="O133" s="5"/>
    </row>
    <row r="134" spans="1:15" x14ac:dyDescent="0.2">
      <c r="A134" t="s">
        <v>12</v>
      </c>
      <c r="B134" t="s">
        <v>83</v>
      </c>
      <c r="C134" s="2">
        <v>45589</v>
      </c>
      <c r="D134" s="2">
        <v>46350</v>
      </c>
      <c r="E134" s="3">
        <v>2049539209.2000003</v>
      </c>
      <c r="F134">
        <v>7</v>
      </c>
      <c r="G134" s="3">
        <v>137925409</v>
      </c>
      <c r="H134" t="s">
        <v>16</v>
      </c>
      <c r="I134" s="2">
        <v>45894</v>
      </c>
      <c r="N134" s="5"/>
      <c r="O134" s="5"/>
    </row>
    <row r="135" spans="1:15" x14ac:dyDescent="0.2">
      <c r="A135" t="s">
        <v>12</v>
      </c>
      <c r="B135" t="s">
        <v>83</v>
      </c>
      <c r="C135" s="2">
        <v>45589</v>
      </c>
      <c r="D135" s="2">
        <v>46350</v>
      </c>
      <c r="E135" s="3">
        <v>2049539209.2000003</v>
      </c>
      <c r="F135">
        <v>8</v>
      </c>
      <c r="G135" s="3">
        <v>100485187</v>
      </c>
      <c r="H135" t="s">
        <v>16</v>
      </c>
      <c r="I135" s="2">
        <v>45894</v>
      </c>
      <c r="N135" s="5"/>
      <c r="O135" s="5"/>
    </row>
    <row r="136" spans="1:15" x14ac:dyDescent="0.2">
      <c r="A136" t="s">
        <v>12</v>
      </c>
      <c r="B136" t="s">
        <v>83</v>
      </c>
      <c r="C136" s="2">
        <v>45589</v>
      </c>
      <c r="D136" s="2">
        <v>46350</v>
      </c>
      <c r="E136" s="3">
        <v>2049539209.2000003</v>
      </c>
      <c r="F136">
        <v>9</v>
      </c>
      <c r="G136" s="3">
        <v>20403448</v>
      </c>
      <c r="H136" t="s">
        <v>16</v>
      </c>
      <c r="I136" s="2">
        <v>45912</v>
      </c>
      <c r="N136" s="5"/>
      <c r="O136" s="5"/>
    </row>
    <row r="137" spans="1:15" x14ac:dyDescent="0.2">
      <c r="A137" t="s">
        <v>12</v>
      </c>
      <c r="B137" t="s">
        <v>83</v>
      </c>
      <c r="C137" s="2">
        <v>45589</v>
      </c>
      <c r="D137" s="2">
        <v>46350</v>
      </c>
      <c r="E137" s="3">
        <v>2049539209.2000003</v>
      </c>
      <c r="F137">
        <v>10</v>
      </c>
      <c r="G137" s="3">
        <v>14443598</v>
      </c>
      <c r="I137" s="2">
        <v>45972</v>
      </c>
      <c r="N137" s="5"/>
      <c r="O137" s="5"/>
    </row>
    <row r="138" spans="1:15" x14ac:dyDescent="0.2">
      <c r="A138" t="s">
        <v>12</v>
      </c>
      <c r="B138" t="s">
        <v>83</v>
      </c>
      <c r="C138" s="2">
        <v>45589</v>
      </c>
      <c r="D138" s="2">
        <v>46350</v>
      </c>
      <c r="E138" s="3">
        <v>2049539209.2000003</v>
      </c>
      <c r="F138">
        <v>11</v>
      </c>
      <c r="G138" s="3">
        <v>25530000</v>
      </c>
      <c r="I138" s="2">
        <v>45979</v>
      </c>
      <c r="N138" s="5"/>
      <c r="O138" s="5"/>
    </row>
    <row r="139" spans="1:15" x14ac:dyDescent="0.2">
      <c r="A139" s="7" t="s">
        <v>24</v>
      </c>
      <c r="B139" t="s">
        <v>82</v>
      </c>
      <c r="C139" s="2">
        <v>45666</v>
      </c>
      <c r="D139" s="2">
        <v>45696</v>
      </c>
      <c r="E139" s="3">
        <f>10000000+(10000000*11%)</f>
        <v>11100000</v>
      </c>
      <c r="F139">
        <v>1</v>
      </c>
      <c r="G139" s="3">
        <f>25%*E139</f>
        <v>2775000</v>
      </c>
      <c r="H139" t="s">
        <v>16</v>
      </c>
      <c r="I139" s="2">
        <v>45664</v>
      </c>
      <c r="N139" s="5"/>
      <c r="O139" s="5"/>
    </row>
    <row r="140" spans="1:15" x14ac:dyDescent="0.2">
      <c r="A140" t="s">
        <v>24</v>
      </c>
      <c r="B140" t="s">
        <v>82</v>
      </c>
      <c r="C140" s="2">
        <v>45666</v>
      </c>
      <c r="D140" s="2">
        <v>45696</v>
      </c>
      <c r="E140" s="3">
        <f>10000000+(10000000*11%)</f>
        <v>11100000</v>
      </c>
      <c r="F140">
        <v>2</v>
      </c>
      <c r="G140" s="3">
        <f>E139*75%</f>
        <v>8325000</v>
      </c>
      <c r="H140" t="s">
        <v>16</v>
      </c>
      <c r="I140" s="2">
        <v>45708</v>
      </c>
      <c r="N140" s="5"/>
      <c r="O140" s="5"/>
    </row>
    <row r="141" spans="1:15" x14ac:dyDescent="0.2">
      <c r="A141" s="7" t="s">
        <v>10</v>
      </c>
      <c r="B141" t="s">
        <v>57</v>
      </c>
      <c r="C141" s="2">
        <v>45638</v>
      </c>
      <c r="D141" s="2">
        <v>45850</v>
      </c>
      <c r="E141" s="3">
        <v>863094375</v>
      </c>
      <c r="F141">
        <v>1</v>
      </c>
      <c r="G141" s="3">
        <v>258928313</v>
      </c>
      <c r="H141" t="s">
        <v>16</v>
      </c>
      <c r="I141" s="2">
        <v>45643</v>
      </c>
      <c r="N141" s="5"/>
      <c r="O141" s="5"/>
    </row>
    <row r="142" spans="1:15" x14ac:dyDescent="0.2">
      <c r="A142" t="s">
        <v>10</v>
      </c>
      <c r="B142" t="s">
        <v>57</v>
      </c>
      <c r="C142" s="2">
        <v>45638</v>
      </c>
      <c r="D142" s="2">
        <v>45850</v>
      </c>
      <c r="E142" s="3">
        <v>863094375</v>
      </c>
      <c r="F142">
        <v>2</v>
      </c>
      <c r="G142" s="3">
        <v>345237750</v>
      </c>
      <c r="H142" t="s">
        <v>16</v>
      </c>
      <c r="I142" s="2">
        <v>45650</v>
      </c>
      <c r="N142" s="5"/>
      <c r="O142" s="5"/>
    </row>
    <row r="143" spans="1:15" x14ac:dyDescent="0.2">
      <c r="A143" t="s">
        <v>10</v>
      </c>
      <c r="B143" t="s">
        <v>57</v>
      </c>
      <c r="C143" s="2">
        <v>45638</v>
      </c>
      <c r="D143" s="2">
        <v>45850</v>
      </c>
      <c r="E143" s="3">
        <v>863094375</v>
      </c>
      <c r="F143">
        <v>3</v>
      </c>
      <c r="G143" s="3">
        <v>258928313</v>
      </c>
      <c r="H143" t="s">
        <v>16</v>
      </c>
      <c r="I143" s="2">
        <v>45849</v>
      </c>
      <c r="N143" s="5"/>
      <c r="O143" s="5"/>
    </row>
    <row r="144" spans="1:15" x14ac:dyDescent="0.2">
      <c r="A144" s="7" t="s">
        <v>58</v>
      </c>
      <c r="B144" t="s">
        <v>59</v>
      </c>
      <c r="C144" s="2">
        <v>45646</v>
      </c>
      <c r="D144" s="2">
        <v>45708</v>
      </c>
      <c r="E144" s="3">
        <v>198264725</v>
      </c>
      <c r="F144">
        <v>1</v>
      </c>
      <c r="G144" s="3">
        <v>183023000</v>
      </c>
      <c r="H144" t="s">
        <v>16</v>
      </c>
      <c r="I144" s="2">
        <v>45649</v>
      </c>
      <c r="N144" s="5"/>
      <c r="O144" s="5"/>
    </row>
    <row r="145" spans="1:15" x14ac:dyDescent="0.2">
      <c r="A145" t="s">
        <v>58</v>
      </c>
      <c r="B145" t="s">
        <v>59</v>
      </c>
      <c r="C145" s="2">
        <v>45646</v>
      </c>
      <c r="D145" s="2">
        <v>45708</v>
      </c>
      <c r="E145" s="3">
        <v>198264725</v>
      </c>
      <c r="F145">
        <v>2</v>
      </c>
      <c r="G145" s="3">
        <v>7620863</v>
      </c>
      <c r="H145" t="s">
        <v>16</v>
      </c>
      <c r="I145" s="2">
        <v>45649</v>
      </c>
      <c r="N145" s="5"/>
      <c r="O145" s="5"/>
    </row>
    <row r="146" spans="1:15" x14ac:dyDescent="0.2">
      <c r="A146" t="s">
        <v>58</v>
      </c>
      <c r="B146" t="s">
        <v>59</v>
      </c>
      <c r="C146" s="2">
        <v>45646</v>
      </c>
      <c r="D146" s="2">
        <v>45708</v>
      </c>
      <c r="E146" s="3">
        <v>198264725</v>
      </c>
      <c r="F146">
        <v>3</v>
      </c>
      <c r="G146" s="3">
        <v>7620862</v>
      </c>
      <c r="H146" t="s">
        <v>16</v>
      </c>
      <c r="I146" s="2">
        <v>45744</v>
      </c>
      <c r="N146" s="5"/>
      <c r="O146" s="5"/>
    </row>
    <row r="147" spans="1:15" x14ac:dyDescent="0.2">
      <c r="A147" s="7" t="s">
        <v>11</v>
      </c>
      <c r="B147" t="s">
        <v>60</v>
      </c>
      <c r="C147" s="2">
        <v>45636</v>
      </c>
      <c r="D147" s="2">
        <v>45726</v>
      </c>
      <c r="E147" s="3">
        <v>256332300</v>
      </c>
      <c r="F147">
        <v>1</v>
      </c>
      <c r="G147" s="3">
        <v>89712420</v>
      </c>
      <c r="H147" t="s">
        <v>16</v>
      </c>
      <c r="I147" s="2">
        <v>45638</v>
      </c>
      <c r="N147" s="5"/>
      <c r="O147" s="5"/>
    </row>
    <row r="148" spans="1:15" x14ac:dyDescent="0.2">
      <c r="A148" t="s">
        <v>11</v>
      </c>
      <c r="B148" t="s">
        <v>60</v>
      </c>
      <c r="C148" s="2">
        <v>45636</v>
      </c>
      <c r="D148" s="2">
        <v>45726</v>
      </c>
      <c r="E148" s="3">
        <v>256332300</v>
      </c>
      <c r="F148">
        <v>2</v>
      </c>
      <c r="G148" s="3">
        <v>89712420</v>
      </c>
      <c r="H148" t="s">
        <v>16</v>
      </c>
      <c r="I148" s="2">
        <v>45670</v>
      </c>
      <c r="N148" s="5"/>
      <c r="O148" s="5"/>
    </row>
    <row r="149" spans="1:15" x14ac:dyDescent="0.2">
      <c r="A149" t="s">
        <v>11</v>
      </c>
      <c r="B149" t="s">
        <v>60</v>
      </c>
      <c r="C149" s="2">
        <v>45636</v>
      </c>
      <c r="D149" s="2">
        <v>45726</v>
      </c>
      <c r="E149" s="3">
        <v>256332300</v>
      </c>
      <c r="F149">
        <v>3</v>
      </c>
      <c r="G149" s="3">
        <v>81184290</v>
      </c>
      <c r="H149" t="s">
        <v>16</v>
      </c>
      <c r="I149" s="2">
        <v>45695</v>
      </c>
      <c r="N149" s="5"/>
      <c r="O149" s="5"/>
    </row>
    <row r="150" spans="1:15" x14ac:dyDescent="0.2">
      <c r="A150" t="s">
        <v>11</v>
      </c>
      <c r="B150" t="s">
        <v>61</v>
      </c>
      <c r="C150" s="2">
        <v>45636</v>
      </c>
      <c r="D150" s="2">
        <v>45726</v>
      </c>
      <c r="E150" s="3">
        <v>199031880</v>
      </c>
      <c r="F150">
        <v>1</v>
      </c>
      <c r="G150" s="3">
        <v>69661158</v>
      </c>
      <c r="H150" t="s">
        <v>16</v>
      </c>
      <c r="I150" s="2">
        <v>45638</v>
      </c>
      <c r="N150" s="5"/>
      <c r="O150" s="5"/>
    </row>
    <row r="151" spans="1:15" x14ac:dyDescent="0.2">
      <c r="A151" t="s">
        <v>11</v>
      </c>
      <c r="B151" t="s">
        <v>61</v>
      </c>
      <c r="C151" s="2">
        <v>45636</v>
      </c>
      <c r="D151" s="2">
        <v>45726</v>
      </c>
      <c r="E151" s="3">
        <v>199031880</v>
      </c>
      <c r="F151">
        <v>2</v>
      </c>
      <c r="G151" s="3">
        <v>75211158</v>
      </c>
      <c r="H151" t="s">
        <v>16</v>
      </c>
      <c r="I151" s="2">
        <v>45670</v>
      </c>
      <c r="N151" s="5"/>
      <c r="O151" s="5"/>
    </row>
    <row r="152" spans="1:15" s="9" customFormat="1" x14ac:dyDescent="0.2">
      <c r="A152" s="9" t="s">
        <v>11</v>
      </c>
      <c r="B152" s="9" t="s">
        <v>61</v>
      </c>
      <c r="C152" s="10">
        <v>45636</v>
      </c>
      <c r="D152" s="10">
        <v>45726</v>
      </c>
      <c r="E152" s="11">
        <v>199031880</v>
      </c>
      <c r="F152" s="9">
        <v>3</v>
      </c>
      <c r="G152" s="11">
        <v>59709564</v>
      </c>
      <c r="H152" s="9" t="s">
        <v>16</v>
      </c>
      <c r="I152" s="10">
        <v>45884</v>
      </c>
      <c r="N152" s="12"/>
      <c r="O152" s="12"/>
    </row>
    <row r="153" spans="1:15" s="9" customFormat="1" x14ac:dyDescent="0.2">
      <c r="A153" s="9" t="s">
        <v>11</v>
      </c>
      <c r="B153" s="9" t="s">
        <v>61</v>
      </c>
      <c r="C153" s="10">
        <v>45636</v>
      </c>
      <c r="D153" s="10">
        <v>45726</v>
      </c>
      <c r="E153" s="11">
        <v>199031880</v>
      </c>
      <c r="F153" s="9">
        <v>4</v>
      </c>
      <c r="G153" s="11">
        <v>81184290</v>
      </c>
      <c r="H153" s="9" t="s">
        <v>16</v>
      </c>
      <c r="I153" s="10">
        <v>45912</v>
      </c>
      <c r="N153" s="12"/>
      <c r="O153" s="12"/>
    </row>
    <row r="154" spans="1:15" s="9" customFormat="1" x14ac:dyDescent="0.2">
      <c r="A154" s="9" t="s">
        <v>11</v>
      </c>
      <c r="B154" s="9" t="s">
        <v>61</v>
      </c>
      <c r="C154" s="10">
        <v>45636</v>
      </c>
      <c r="D154" s="10">
        <v>45726</v>
      </c>
      <c r="E154" s="11">
        <v>199031880</v>
      </c>
      <c r="F154" s="9">
        <v>5</v>
      </c>
      <c r="G154" s="11">
        <v>8880</v>
      </c>
      <c r="H154" s="9" t="s">
        <v>16</v>
      </c>
      <c r="I154" s="10">
        <v>45959</v>
      </c>
      <c r="N154" s="12"/>
      <c r="O154" s="12"/>
    </row>
    <row r="155" spans="1:15" s="9" customFormat="1" x14ac:dyDescent="0.2">
      <c r="A155" s="9" t="s">
        <v>11</v>
      </c>
      <c r="B155" s="9" t="s">
        <v>61</v>
      </c>
      <c r="C155" s="10">
        <v>45636</v>
      </c>
      <c r="D155" s="10">
        <v>45726</v>
      </c>
      <c r="E155" s="11">
        <v>199031880</v>
      </c>
      <c r="F155" s="9">
        <v>6</v>
      </c>
      <c r="G155" s="11">
        <v>-5550000</v>
      </c>
      <c r="H155" s="9" t="s">
        <v>16</v>
      </c>
      <c r="I155" s="10">
        <v>45959</v>
      </c>
      <c r="N155" s="12"/>
      <c r="O155" s="12"/>
    </row>
    <row r="156" spans="1:15" x14ac:dyDescent="0.2">
      <c r="A156" s="7" t="s">
        <v>12</v>
      </c>
      <c r="B156" t="s">
        <v>62</v>
      </c>
      <c r="C156" s="2">
        <v>45663</v>
      </c>
      <c r="D156" s="2">
        <v>46393</v>
      </c>
      <c r="E156" s="3">
        <v>2848590558</v>
      </c>
      <c r="F156">
        <v>1</v>
      </c>
      <c r="G156" s="3">
        <v>341830867</v>
      </c>
      <c r="H156" t="s">
        <v>16</v>
      </c>
      <c r="I156" s="2">
        <v>45666</v>
      </c>
      <c r="N156" s="5"/>
      <c r="O156" s="5"/>
    </row>
    <row r="157" spans="1:15" x14ac:dyDescent="0.2">
      <c r="A157" t="s">
        <v>12</v>
      </c>
      <c r="B157" t="s">
        <v>62</v>
      </c>
      <c r="C157" s="2">
        <v>45663</v>
      </c>
      <c r="D157" s="2">
        <v>46393</v>
      </c>
      <c r="E157" s="3">
        <v>2848590558</v>
      </c>
      <c r="F157">
        <v>2</v>
      </c>
      <c r="G157" s="3">
        <v>117306044</v>
      </c>
      <c r="H157" t="s">
        <v>16</v>
      </c>
      <c r="I157" s="2">
        <v>45889</v>
      </c>
      <c r="N157" s="5"/>
      <c r="O157" s="5"/>
    </row>
    <row r="158" spans="1:15" x14ac:dyDescent="0.2">
      <c r="A158" t="s">
        <v>12</v>
      </c>
      <c r="B158" t="s">
        <v>62</v>
      </c>
      <c r="C158" s="2">
        <v>45663</v>
      </c>
      <c r="D158" s="2">
        <v>46393</v>
      </c>
      <c r="E158" s="3">
        <v>2848590558</v>
      </c>
      <c r="F158" s="9">
        <v>3</v>
      </c>
      <c r="G158" s="3">
        <v>7880303</v>
      </c>
      <c r="H158" t="s">
        <v>16</v>
      </c>
      <c r="I158" s="2">
        <v>45972</v>
      </c>
      <c r="N158" s="5"/>
      <c r="O158" s="5"/>
    </row>
    <row r="159" spans="1:15" x14ac:dyDescent="0.2">
      <c r="A159" s="7" t="s">
        <v>63</v>
      </c>
      <c r="B159" t="s">
        <v>64</v>
      </c>
      <c r="C159" s="2">
        <v>45663</v>
      </c>
      <c r="D159" s="2">
        <v>46392</v>
      </c>
      <c r="E159" s="3">
        <v>408000000</v>
      </c>
      <c r="F159">
        <v>1</v>
      </c>
      <c r="G159" s="3">
        <v>17000000</v>
      </c>
      <c r="H159" t="s">
        <v>16</v>
      </c>
      <c r="I159" s="2">
        <v>45666</v>
      </c>
      <c r="N159" s="5"/>
      <c r="O159" s="5"/>
    </row>
    <row r="160" spans="1:15" x14ac:dyDescent="0.2">
      <c r="A160" t="s">
        <v>63</v>
      </c>
      <c r="B160" t="s">
        <v>64</v>
      </c>
      <c r="C160" s="2">
        <v>45663</v>
      </c>
      <c r="D160" s="2">
        <v>46392</v>
      </c>
      <c r="E160" s="3">
        <v>408000000</v>
      </c>
      <c r="F160">
        <v>2</v>
      </c>
      <c r="G160" s="3">
        <v>17000000</v>
      </c>
      <c r="H160" t="s">
        <v>16</v>
      </c>
      <c r="I160" s="2">
        <v>45721</v>
      </c>
      <c r="N160" s="5"/>
      <c r="O160" s="5"/>
    </row>
    <row r="161" spans="1:15" x14ac:dyDescent="0.2">
      <c r="A161" t="s">
        <v>63</v>
      </c>
      <c r="B161" t="s">
        <v>64</v>
      </c>
      <c r="C161" s="2">
        <v>45663</v>
      </c>
      <c r="D161" s="2">
        <v>46392</v>
      </c>
      <c r="E161" s="3">
        <v>408000000</v>
      </c>
      <c r="F161">
        <v>3</v>
      </c>
      <c r="G161" s="3">
        <v>17000000</v>
      </c>
      <c r="H161" t="s">
        <v>16</v>
      </c>
      <c r="I161" s="2">
        <v>45757</v>
      </c>
      <c r="N161" s="5"/>
      <c r="O161" s="5"/>
    </row>
    <row r="162" spans="1:15" x14ac:dyDescent="0.2">
      <c r="A162" t="s">
        <v>63</v>
      </c>
      <c r="B162" t="s">
        <v>64</v>
      </c>
      <c r="C162" s="2">
        <v>45663</v>
      </c>
      <c r="D162" s="2">
        <v>46392</v>
      </c>
      <c r="E162" s="3">
        <v>408000000</v>
      </c>
      <c r="F162">
        <v>4</v>
      </c>
      <c r="G162" s="3">
        <v>17000000</v>
      </c>
      <c r="H162" t="s">
        <v>16</v>
      </c>
      <c r="I162" s="2">
        <v>45786</v>
      </c>
      <c r="N162" s="5"/>
      <c r="O162" s="5"/>
    </row>
    <row r="163" spans="1:15" x14ac:dyDescent="0.2">
      <c r="A163" t="s">
        <v>63</v>
      </c>
      <c r="B163" t="s">
        <v>64</v>
      </c>
      <c r="C163" s="2">
        <v>45663</v>
      </c>
      <c r="D163" s="2">
        <v>46392</v>
      </c>
      <c r="E163" s="3">
        <v>408000000</v>
      </c>
      <c r="F163">
        <v>5</v>
      </c>
      <c r="G163" s="3">
        <v>17000000</v>
      </c>
      <c r="H163" t="s">
        <v>16</v>
      </c>
      <c r="I163" s="2">
        <v>45813</v>
      </c>
      <c r="N163" s="5"/>
      <c r="O163" s="5"/>
    </row>
    <row r="164" spans="1:15" x14ac:dyDescent="0.2">
      <c r="A164" t="s">
        <v>63</v>
      </c>
      <c r="B164" t="s">
        <v>64</v>
      </c>
      <c r="C164" s="2">
        <v>45663</v>
      </c>
      <c r="D164" s="2">
        <v>46392</v>
      </c>
      <c r="E164" s="3">
        <v>408000000</v>
      </c>
      <c r="F164">
        <v>6</v>
      </c>
      <c r="G164" s="3">
        <v>17000000</v>
      </c>
      <c r="H164" t="s">
        <v>16</v>
      </c>
      <c r="I164" s="2">
        <v>45842</v>
      </c>
      <c r="N164" s="5"/>
      <c r="O164" s="5"/>
    </row>
    <row r="165" spans="1:15" x14ac:dyDescent="0.2">
      <c r="A165" t="s">
        <v>63</v>
      </c>
      <c r="B165" t="s">
        <v>64</v>
      </c>
      <c r="C165" s="2">
        <v>45663</v>
      </c>
      <c r="D165" s="2">
        <v>46392</v>
      </c>
      <c r="E165" s="3">
        <v>408000000</v>
      </c>
      <c r="F165">
        <v>7</v>
      </c>
      <c r="G165" s="3">
        <v>17000000</v>
      </c>
      <c r="H165" t="s">
        <v>16</v>
      </c>
      <c r="I165" s="2">
        <v>45875</v>
      </c>
      <c r="N165" s="5"/>
      <c r="O165" s="5"/>
    </row>
    <row r="166" spans="1:15" x14ac:dyDescent="0.2">
      <c r="A166" t="s">
        <v>63</v>
      </c>
      <c r="B166" t="s">
        <v>64</v>
      </c>
      <c r="C166" s="2">
        <v>45663</v>
      </c>
      <c r="D166" s="2">
        <v>46392</v>
      </c>
      <c r="E166" s="3">
        <v>408000000</v>
      </c>
      <c r="F166">
        <v>8</v>
      </c>
      <c r="G166" s="3">
        <v>26700000</v>
      </c>
      <c r="H166" t="s">
        <v>16</v>
      </c>
      <c r="I166" s="2">
        <v>45904</v>
      </c>
      <c r="N166" s="5"/>
      <c r="O166" s="5"/>
    </row>
    <row r="167" spans="1:15" x14ac:dyDescent="0.2">
      <c r="A167" t="s">
        <v>63</v>
      </c>
      <c r="B167" t="s">
        <v>64</v>
      </c>
      <c r="C167" s="2">
        <v>45663</v>
      </c>
      <c r="D167" s="2">
        <v>46392</v>
      </c>
      <c r="E167" s="3">
        <v>408000000</v>
      </c>
      <c r="F167">
        <v>9</v>
      </c>
      <c r="G167" s="3">
        <v>18800000</v>
      </c>
      <c r="H167" t="s">
        <v>16</v>
      </c>
      <c r="I167" s="2">
        <v>45936</v>
      </c>
      <c r="N167" s="5"/>
      <c r="O167" s="5"/>
    </row>
    <row r="168" spans="1:15" x14ac:dyDescent="0.2">
      <c r="A168" t="s">
        <v>63</v>
      </c>
      <c r="B168" t="s">
        <v>64</v>
      </c>
      <c r="C168" s="2">
        <v>45663</v>
      </c>
      <c r="D168" s="2">
        <v>46392</v>
      </c>
      <c r="E168" s="3">
        <v>408000000</v>
      </c>
      <c r="F168">
        <v>10</v>
      </c>
      <c r="G168" s="3">
        <v>20800000</v>
      </c>
      <c r="H168" t="s">
        <v>16</v>
      </c>
      <c r="I168" s="2">
        <v>45982</v>
      </c>
      <c r="N168" s="5"/>
      <c r="O168" s="5"/>
    </row>
    <row r="169" spans="1:15" x14ac:dyDescent="0.2">
      <c r="A169" t="s">
        <v>49</v>
      </c>
      <c r="B169" t="s">
        <v>65</v>
      </c>
      <c r="C169" s="2">
        <v>45719</v>
      </c>
      <c r="D169" s="2">
        <v>47180</v>
      </c>
      <c r="E169" s="3">
        <v>106951200</v>
      </c>
      <c r="F169">
        <v>1</v>
      </c>
      <c r="G169" s="3">
        <v>26737800</v>
      </c>
      <c r="H169" t="s">
        <v>16</v>
      </c>
      <c r="I169" s="2">
        <v>45778</v>
      </c>
      <c r="N169" s="5"/>
      <c r="O169" s="5"/>
    </row>
    <row r="170" spans="1:15" x14ac:dyDescent="0.2">
      <c r="A170" t="s">
        <v>10</v>
      </c>
      <c r="B170" t="s">
        <v>66</v>
      </c>
      <c r="C170" s="2">
        <v>45805</v>
      </c>
      <c r="D170" s="2">
        <v>46140</v>
      </c>
      <c r="E170" s="3">
        <v>1607280000</v>
      </c>
      <c r="F170">
        <v>1</v>
      </c>
      <c r="G170" s="3">
        <v>321456000</v>
      </c>
      <c r="H170" t="s">
        <v>16</v>
      </c>
      <c r="I170" s="2">
        <v>45810</v>
      </c>
      <c r="N170" s="5"/>
      <c r="O170" s="5"/>
    </row>
    <row r="171" spans="1:15" x14ac:dyDescent="0.2">
      <c r="A171" t="s">
        <v>10</v>
      </c>
      <c r="B171" t="s">
        <v>66</v>
      </c>
      <c r="C171" s="2">
        <v>45805</v>
      </c>
      <c r="D171" s="2">
        <v>46140</v>
      </c>
      <c r="E171" s="3">
        <v>1607280000</v>
      </c>
      <c r="F171">
        <v>2</v>
      </c>
      <c r="G171" s="3">
        <v>642912000</v>
      </c>
      <c r="H171" t="s">
        <v>16</v>
      </c>
      <c r="I171" s="2">
        <v>45834</v>
      </c>
      <c r="N171" s="5"/>
      <c r="O171" s="5"/>
    </row>
    <row r="172" spans="1:15" x14ac:dyDescent="0.2">
      <c r="A172" t="s">
        <v>12</v>
      </c>
      <c r="B172" t="s">
        <v>67</v>
      </c>
      <c r="C172" s="2">
        <v>45694</v>
      </c>
      <c r="D172" s="2">
        <v>45862</v>
      </c>
      <c r="E172" s="3">
        <v>6701500868</v>
      </c>
      <c r="F172">
        <v>1</v>
      </c>
      <c r="G172" s="3">
        <v>1951581770</v>
      </c>
      <c r="H172" t="s">
        <v>16</v>
      </c>
      <c r="I172" s="2">
        <v>45769</v>
      </c>
      <c r="N172" s="5"/>
      <c r="O172" s="5"/>
    </row>
    <row r="173" spans="1:15" x14ac:dyDescent="0.2">
      <c r="A173" t="s">
        <v>12</v>
      </c>
      <c r="B173" t="s">
        <v>67</v>
      </c>
      <c r="C173" s="2">
        <v>45694</v>
      </c>
      <c r="D173" s="2">
        <v>45862</v>
      </c>
      <c r="E173" s="3">
        <v>6701500868</v>
      </c>
      <c r="F173">
        <v>2</v>
      </c>
      <c r="G173" s="3">
        <v>1097764745</v>
      </c>
      <c r="H173" t="s">
        <v>16</v>
      </c>
      <c r="I173" s="2">
        <v>45792</v>
      </c>
      <c r="N173" s="5"/>
      <c r="O173" s="5"/>
    </row>
    <row r="174" spans="1:15" x14ac:dyDescent="0.2">
      <c r="A174" t="s">
        <v>12</v>
      </c>
      <c r="B174" t="s">
        <v>67</v>
      </c>
      <c r="C174" s="2">
        <v>45694</v>
      </c>
      <c r="D174" s="2">
        <v>45862</v>
      </c>
      <c r="E174" s="3">
        <v>6701500868</v>
      </c>
      <c r="F174">
        <v>3</v>
      </c>
      <c r="G174" s="3">
        <v>1463686326</v>
      </c>
      <c r="H174" t="s">
        <v>16</v>
      </c>
      <c r="I174" s="2">
        <v>45818</v>
      </c>
      <c r="N174" s="5"/>
      <c r="O174" s="5"/>
    </row>
    <row r="175" spans="1:15" x14ac:dyDescent="0.2">
      <c r="A175" t="s">
        <v>12</v>
      </c>
      <c r="B175" t="s">
        <v>67</v>
      </c>
      <c r="C175" s="2">
        <v>45694</v>
      </c>
      <c r="D175" s="2">
        <v>45862</v>
      </c>
      <c r="E175" s="3">
        <v>6701500868</v>
      </c>
      <c r="F175">
        <v>4</v>
      </c>
      <c r="G175" s="3">
        <v>505495000</v>
      </c>
      <c r="H175" t="s">
        <v>16</v>
      </c>
      <c r="I175" s="2">
        <v>45824</v>
      </c>
      <c r="N175" s="5"/>
      <c r="O175" s="5"/>
    </row>
    <row r="176" spans="1:15" x14ac:dyDescent="0.2">
      <c r="A176" t="s">
        <v>12</v>
      </c>
      <c r="B176" t="s">
        <v>67</v>
      </c>
      <c r="C176" s="2">
        <v>45694</v>
      </c>
      <c r="D176" s="2">
        <v>45862</v>
      </c>
      <c r="E176" s="3">
        <v>6701500868</v>
      </c>
      <c r="F176">
        <v>5</v>
      </c>
      <c r="G176" s="3">
        <v>1324112907</v>
      </c>
      <c r="H176" t="s">
        <v>16</v>
      </c>
      <c r="I176" s="2">
        <v>45863</v>
      </c>
      <c r="N176" s="5"/>
      <c r="O176" s="5"/>
    </row>
    <row r="177" spans="1:15" x14ac:dyDescent="0.2">
      <c r="A177" t="s">
        <v>12</v>
      </c>
      <c r="B177" t="s">
        <v>67</v>
      </c>
      <c r="C177" s="2">
        <v>45694</v>
      </c>
      <c r="D177" s="2">
        <v>45862</v>
      </c>
      <c r="E177" s="3">
        <v>6701500868</v>
      </c>
      <c r="F177">
        <v>6</v>
      </c>
      <c r="G177" s="3">
        <v>103698671</v>
      </c>
      <c r="H177" t="s">
        <v>16</v>
      </c>
      <c r="I177" s="2" t="s">
        <v>92</v>
      </c>
      <c r="N177" s="5"/>
      <c r="O177" s="5"/>
    </row>
    <row r="178" spans="1:15" x14ac:dyDescent="0.2">
      <c r="A178" t="s">
        <v>12</v>
      </c>
      <c r="B178" t="s">
        <v>67</v>
      </c>
      <c r="C178" s="2">
        <v>45694</v>
      </c>
      <c r="D178" s="2">
        <v>45862</v>
      </c>
      <c r="E178" s="3">
        <v>6701500868</v>
      </c>
      <c r="F178">
        <v>7</v>
      </c>
      <c r="G178" s="3">
        <v>188146431</v>
      </c>
      <c r="H178" t="s">
        <v>16</v>
      </c>
      <c r="I178" s="2">
        <v>45945</v>
      </c>
      <c r="N178" s="5"/>
      <c r="O178" s="5"/>
    </row>
    <row r="179" spans="1:15" ht="14.5" customHeight="1" x14ac:dyDescent="0.2">
      <c r="A179" t="s">
        <v>58</v>
      </c>
      <c r="B179" t="s">
        <v>68</v>
      </c>
      <c r="C179" s="2">
        <v>45818</v>
      </c>
      <c r="D179" s="2">
        <v>45848</v>
      </c>
      <c r="E179" s="3">
        <v>197060201</v>
      </c>
      <c r="F179">
        <v>1</v>
      </c>
      <c r="G179" s="3">
        <v>81284319</v>
      </c>
      <c r="H179" t="s">
        <v>16</v>
      </c>
      <c r="I179" s="2">
        <v>45821</v>
      </c>
      <c r="N179" s="5"/>
      <c r="O179" s="5"/>
    </row>
    <row r="180" spans="1:15" ht="15" customHeight="1" x14ac:dyDescent="0.2">
      <c r="A180" t="s">
        <v>58</v>
      </c>
      <c r="B180" t="s">
        <v>68</v>
      </c>
      <c r="C180" s="2">
        <v>45818</v>
      </c>
      <c r="D180" s="2">
        <v>45848</v>
      </c>
      <c r="E180" s="3">
        <v>197060201</v>
      </c>
      <c r="F180">
        <v>2</v>
      </c>
      <c r="G180" s="3">
        <v>105922871</v>
      </c>
      <c r="H180" t="s">
        <v>16</v>
      </c>
      <c r="I180" s="2">
        <v>45863</v>
      </c>
      <c r="N180" s="5"/>
      <c r="O180" s="5"/>
    </row>
    <row r="181" spans="1:15" ht="15" customHeight="1" x14ac:dyDescent="0.2">
      <c r="A181" t="s">
        <v>58</v>
      </c>
      <c r="B181" t="s">
        <v>68</v>
      </c>
      <c r="C181" s="2">
        <v>45818</v>
      </c>
      <c r="D181" s="2">
        <v>45848</v>
      </c>
      <c r="E181" s="3">
        <v>197060201</v>
      </c>
      <c r="F181">
        <v>3</v>
      </c>
      <c r="G181" s="3">
        <v>9853011</v>
      </c>
      <c r="H181" t="s">
        <v>16</v>
      </c>
      <c r="I181" s="2">
        <v>45957</v>
      </c>
      <c r="N181" s="5"/>
      <c r="O181" s="5"/>
    </row>
    <row r="182" spans="1:15" ht="14.5" customHeight="1" x14ac:dyDescent="0.2">
      <c r="A182" s="7" t="s">
        <v>69</v>
      </c>
      <c r="B182" t="s">
        <v>70</v>
      </c>
      <c r="C182" s="2">
        <v>45778</v>
      </c>
      <c r="D182" s="2">
        <v>46508</v>
      </c>
      <c r="E182" s="3">
        <v>348444444</v>
      </c>
      <c r="F182">
        <v>1</v>
      </c>
      <c r="G182" s="3">
        <v>5000000</v>
      </c>
      <c r="H182" t="s">
        <v>16</v>
      </c>
      <c r="I182" s="2">
        <v>45767</v>
      </c>
      <c r="N182" s="5"/>
      <c r="O182" s="5"/>
    </row>
    <row r="183" spans="1:15" ht="15" customHeight="1" x14ac:dyDescent="0.2">
      <c r="A183" t="s">
        <v>69</v>
      </c>
      <c r="B183" t="s">
        <v>70</v>
      </c>
      <c r="C183" s="2">
        <v>45778</v>
      </c>
      <c r="D183" s="2">
        <v>46508</v>
      </c>
      <c r="E183" s="3">
        <v>348444444</v>
      </c>
      <c r="F183">
        <v>2</v>
      </c>
      <c r="G183" s="3">
        <v>167222222</v>
      </c>
      <c r="H183" t="s">
        <v>16</v>
      </c>
      <c r="I183" s="2">
        <v>45744</v>
      </c>
      <c r="N183" s="5"/>
      <c r="O183" s="5"/>
    </row>
    <row r="184" spans="1:15" x14ac:dyDescent="0.2">
      <c r="A184" t="s">
        <v>69</v>
      </c>
      <c r="B184" t="s">
        <v>70</v>
      </c>
      <c r="C184" s="2">
        <v>45778</v>
      </c>
      <c r="D184" s="2">
        <v>46508</v>
      </c>
      <c r="E184" s="3">
        <v>348444444</v>
      </c>
      <c r="F184">
        <v>3</v>
      </c>
      <c r="G184" s="3">
        <v>167222222</v>
      </c>
      <c r="H184" t="s">
        <v>16</v>
      </c>
      <c r="I184" s="2">
        <v>45805</v>
      </c>
      <c r="N184" s="5"/>
      <c r="O184" s="5"/>
    </row>
    <row r="185" spans="1:15" x14ac:dyDescent="0.2">
      <c r="A185" t="s">
        <v>69</v>
      </c>
      <c r="B185" t="s">
        <v>70</v>
      </c>
      <c r="C185" s="2">
        <v>45778</v>
      </c>
      <c r="D185" s="2">
        <v>46508</v>
      </c>
      <c r="E185" s="3">
        <v>348444444</v>
      </c>
      <c r="F185">
        <v>4</v>
      </c>
      <c r="G185" s="3">
        <v>5000000</v>
      </c>
      <c r="H185" t="s">
        <v>16</v>
      </c>
      <c r="I185" s="2">
        <v>45849</v>
      </c>
      <c r="N185" s="5"/>
      <c r="O185" s="5"/>
    </row>
    <row r="186" spans="1:15" ht="14.5" customHeight="1" x14ac:dyDescent="0.2">
      <c r="A186" s="7" t="s">
        <v>14</v>
      </c>
      <c r="B186" t="s">
        <v>71</v>
      </c>
      <c r="C186" s="2">
        <v>45768</v>
      </c>
      <c r="D186" s="2">
        <v>45798</v>
      </c>
      <c r="E186" s="3">
        <v>145543755</v>
      </c>
      <c r="F186">
        <v>1</v>
      </c>
      <c r="G186" s="3">
        <v>72771878</v>
      </c>
      <c r="H186" t="s">
        <v>16</v>
      </c>
      <c r="I186" s="2">
        <v>45772</v>
      </c>
      <c r="N186" s="5"/>
      <c r="O186" s="5"/>
    </row>
    <row r="187" spans="1:15" ht="15" customHeight="1" x14ac:dyDescent="0.2">
      <c r="A187" t="s">
        <v>14</v>
      </c>
      <c r="B187" t="s">
        <v>71</v>
      </c>
      <c r="C187" s="2">
        <v>45768</v>
      </c>
      <c r="D187" s="2">
        <v>45798</v>
      </c>
      <c r="E187" s="3">
        <v>145543755</v>
      </c>
      <c r="F187">
        <v>2</v>
      </c>
      <c r="G187" s="3">
        <v>58217502</v>
      </c>
      <c r="H187" t="s">
        <v>16</v>
      </c>
      <c r="I187" s="2">
        <v>45799</v>
      </c>
      <c r="N187" s="5"/>
      <c r="O187" s="5"/>
    </row>
    <row r="188" spans="1:15" x14ac:dyDescent="0.2">
      <c r="A188" t="s">
        <v>14</v>
      </c>
      <c r="B188" t="s">
        <v>71</v>
      </c>
      <c r="C188" s="2">
        <v>45768</v>
      </c>
      <c r="D188" s="2">
        <v>45798</v>
      </c>
      <c r="E188" s="3">
        <v>145543755</v>
      </c>
      <c r="F188">
        <v>3</v>
      </c>
      <c r="G188" s="3">
        <v>14554375</v>
      </c>
      <c r="H188" t="s">
        <v>16</v>
      </c>
      <c r="I188" s="2">
        <v>45896</v>
      </c>
      <c r="N188" s="5"/>
      <c r="O188" s="5"/>
    </row>
    <row r="189" spans="1:15" x14ac:dyDescent="0.2">
      <c r="A189" s="7" t="s">
        <v>72</v>
      </c>
      <c r="B189" t="s">
        <v>73</v>
      </c>
      <c r="C189" s="2">
        <v>45778</v>
      </c>
      <c r="D189" s="2">
        <v>46143</v>
      </c>
      <c r="E189" s="3">
        <v>2417361075</v>
      </c>
      <c r="F189">
        <v>1</v>
      </c>
      <c r="G189" s="3">
        <v>435993308</v>
      </c>
      <c r="H189" t="s">
        <v>16</v>
      </c>
      <c r="I189" s="2">
        <v>45786</v>
      </c>
      <c r="N189" s="5"/>
      <c r="O189" s="5"/>
    </row>
    <row r="190" spans="1:15" x14ac:dyDescent="0.2">
      <c r="A190" t="s">
        <v>72</v>
      </c>
      <c r="B190" t="s">
        <v>73</v>
      </c>
      <c r="C190" s="2">
        <v>45778</v>
      </c>
      <c r="D190" s="2">
        <v>46143</v>
      </c>
      <c r="E190" s="3">
        <v>2417361075</v>
      </c>
      <c r="F190">
        <v>2</v>
      </c>
      <c r="G190" s="3">
        <v>28210180</v>
      </c>
      <c r="H190" t="s">
        <v>16</v>
      </c>
      <c r="I190" s="2">
        <v>45813</v>
      </c>
      <c r="N190" s="5"/>
      <c r="O190" s="5"/>
    </row>
    <row r="191" spans="1:15" x14ac:dyDescent="0.2">
      <c r="A191" t="s">
        <v>72</v>
      </c>
      <c r="B191" t="s">
        <v>73</v>
      </c>
      <c r="C191" s="2">
        <v>45778</v>
      </c>
      <c r="D191" s="2">
        <v>46143</v>
      </c>
      <c r="E191" s="3">
        <v>2417361075</v>
      </c>
      <c r="F191">
        <v>3</v>
      </c>
      <c r="G191" s="3">
        <v>196051253</v>
      </c>
      <c r="H191" t="s">
        <v>16</v>
      </c>
      <c r="I191" s="2">
        <v>45818</v>
      </c>
      <c r="N191" s="5"/>
      <c r="O191" s="5"/>
    </row>
    <row r="192" spans="1:15" x14ac:dyDescent="0.2">
      <c r="A192" t="s">
        <v>72</v>
      </c>
      <c r="B192" t="s">
        <v>73</v>
      </c>
      <c r="C192" s="2">
        <v>45778</v>
      </c>
      <c r="D192" s="2">
        <v>46143</v>
      </c>
      <c r="E192" s="3">
        <v>2417361075</v>
      </c>
      <c r="F192">
        <v>4</v>
      </c>
      <c r="G192" s="3">
        <v>53450342</v>
      </c>
      <c r="H192" t="s">
        <v>16</v>
      </c>
      <c r="I192" s="2">
        <v>45824</v>
      </c>
      <c r="N192" s="5"/>
      <c r="O192" s="5"/>
    </row>
    <row r="193" spans="1:15" x14ac:dyDescent="0.2">
      <c r="A193" t="s">
        <v>72</v>
      </c>
      <c r="B193" t="s">
        <v>73</v>
      </c>
      <c r="C193" s="2">
        <v>45778</v>
      </c>
      <c r="D193" s="2">
        <v>46143</v>
      </c>
      <c r="E193" s="3">
        <v>2417361075</v>
      </c>
      <c r="F193">
        <v>5</v>
      </c>
      <c r="G193" s="3">
        <v>9835688</v>
      </c>
      <c r="H193" t="s">
        <v>16</v>
      </c>
      <c r="I193" s="2">
        <v>45833</v>
      </c>
      <c r="N193" s="5"/>
      <c r="O193" s="5"/>
    </row>
    <row r="194" spans="1:15" x14ac:dyDescent="0.2">
      <c r="A194" t="s">
        <v>72</v>
      </c>
      <c r="B194" t="s">
        <v>73</v>
      </c>
      <c r="C194" s="2">
        <v>45778</v>
      </c>
      <c r="D194" s="2">
        <v>46143</v>
      </c>
      <c r="E194" s="3">
        <v>2417361075</v>
      </c>
      <c r="F194">
        <v>6</v>
      </c>
      <c r="G194" s="3">
        <v>179727728</v>
      </c>
      <c r="H194" t="s">
        <v>16</v>
      </c>
      <c r="I194" s="2">
        <v>45833</v>
      </c>
      <c r="N194" s="5"/>
      <c r="O194" s="5"/>
    </row>
    <row r="195" spans="1:15" x14ac:dyDescent="0.2">
      <c r="A195" t="s">
        <v>72</v>
      </c>
      <c r="B195" t="s">
        <v>73</v>
      </c>
      <c r="C195" s="2">
        <v>45778</v>
      </c>
      <c r="D195" s="2">
        <v>46143</v>
      </c>
      <c r="E195" s="3">
        <v>2417361075</v>
      </c>
      <c r="F195">
        <v>7</v>
      </c>
      <c r="G195" s="3">
        <v>260342175</v>
      </c>
      <c r="H195" t="s">
        <v>16</v>
      </c>
      <c r="I195" s="2">
        <v>45855</v>
      </c>
      <c r="N195" s="5"/>
      <c r="O195" s="5"/>
    </row>
    <row r="196" spans="1:15" x14ac:dyDescent="0.2">
      <c r="A196" t="s">
        <v>72</v>
      </c>
      <c r="B196" t="s">
        <v>73</v>
      </c>
      <c r="C196" s="2">
        <v>45778</v>
      </c>
      <c r="D196" s="2">
        <v>46143</v>
      </c>
      <c r="E196" s="3">
        <v>2417361075</v>
      </c>
      <c r="F196">
        <v>8</v>
      </c>
      <c r="G196" s="3">
        <v>70207500</v>
      </c>
      <c r="H196" t="s">
        <v>16</v>
      </c>
      <c r="I196" s="2">
        <v>45855</v>
      </c>
      <c r="N196" s="5"/>
      <c r="O196" s="5"/>
    </row>
    <row r="197" spans="1:15" x14ac:dyDescent="0.2">
      <c r="A197" t="s">
        <v>72</v>
      </c>
      <c r="B197" t="s">
        <v>73</v>
      </c>
      <c r="C197" s="2">
        <v>45778</v>
      </c>
      <c r="D197" s="2">
        <v>46143</v>
      </c>
      <c r="E197" s="3">
        <v>2417361075</v>
      </c>
      <c r="F197">
        <v>9</v>
      </c>
      <c r="G197" s="3">
        <v>31912500</v>
      </c>
      <c r="H197" t="s">
        <v>16</v>
      </c>
      <c r="I197" s="2">
        <v>45863</v>
      </c>
      <c r="N197" s="5"/>
      <c r="O197" s="5"/>
    </row>
    <row r="198" spans="1:15" x14ac:dyDescent="0.2">
      <c r="A198" t="s">
        <v>72</v>
      </c>
      <c r="B198" t="s">
        <v>73</v>
      </c>
      <c r="C198" s="2">
        <v>45778</v>
      </c>
      <c r="D198" s="2">
        <v>46143</v>
      </c>
      <c r="E198" s="3">
        <v>2417361075</v>
      </c>
      <c r="F198">
        <v>10</v>
      </c>
      <c r="G198" s="3">
        <v>492528590</v>
      </c>
      <c r="H198" t="s">
        <v>16</v>
      </c>
      <c r="I198" s="2">
        <v>45875</v>
      </c>
      <c r="N198" s="5"/>
      <c r="O198" s="5"/>
    </row>
    <row r="199" spans="1:15" x14ac:dyDescent="0.2">
      <c r="A199" t="s">
        <v>72</v>
      </c>
      <c r="B199" t="s">
        <v>73</v>
      </c>
      <c r="C199" s="2">
        <v>45778</v>
      </c>
      <c r="D199" s="2">
        <v>46143</v>
      </c>
      <c r="E199" s="3">
        <v>2417361075</v>
      </c>
      <c r="F199">
        <v>11</v>
      </c>
      <c r="G199" s="3">
        <v>64463250</v>
      </c>
      <c r="H199" t="s">
        <v>16</v>
      </c>
      <c r="I199" s="2">
        <v>45884</v>
      </c>
      <c r="N199" s="5"/>
      <c r="O199" s="5"/>
    </row>
    <row r="200" spans="1:15" x14ac:dyDescent="0.2">
      <c r="A200" t="s">
        <v>72</v>
      </c>
      <c r="B200" t="s">
        <v>73</v>
      </c>
      <c r="C200" s="2">
        <v>45778</v>
      </c>
      <c r="D200" s="2">
        <v>46143</v>
      </c>
      <c r="E200" s="3">
        <v>2417361075</v>
      </c>
      <c r="F200">
        <v>12</v>
      </c>
      <c r="G200" s="3">
        <v>12765000</v>
      </c>
      <c r="H200" t="s">
        <v>16</v>
      </c>
      <c r="I200" s="2">
        <v>45904</v>
      </c>
      <c r="N200" s="5"/>
      <c r="O200" s="5"/>
    </row>
    <row r="201" spans="1:15" x14ac:dyDescent="0.2">
      <c r="A201" t="s">
        <v>72</v>
      </c>
      <c r="B201" t="s">
        <v>73</v>
      </c>
      <c r="C201" s="2">
        <v>45778</v>
      </c>
      <c r="D201" s="2">
        <v>46143</v>
      </c>
      <c r="E201" s="3">
        <v>2417361075</v>
      </c>
      <c r="F201">
        <v>13</v>
      </c>
      <c r="G201" s="3">
        <v>39603923</v>
      </c>
      <c r="H201" t="s">
        <v>16</v>
      </c>
      <c r="I201" s="2">
        <v>45904</v>
      </c>
      <c r="N201" s="5"/>
      <c r="O201" s="5"/>
    </row>
    <row r="202" spans="1:15" x14ac:dyDescent="0.2">
      <c r="A202" t="s">
        <v>72</v>
      </c>
      <c r="B202" t="s">
        <v>73</v>
      </c>
      <c r="C202" s="2">
        <v>45778</v>
      </c>
      <c r="D202" s="2">
        <v>46143</v>
      </c>
      <c r="E202" s="3">
        <v>2417361075</v>
      </c>
      <c r="F202">
        <v>14</v>
      </c>
      <c r="G202" s="3">
        <v>36699375</v>
      </c>
      <c r="H202" t="s">
        <v>16</v>
      </c>
      <c r="I202" s="2">
        <v>45919</v>
      </c>
      <c r="N202" s="5"/>
      <c r="O202" s="5"/>
    </row>
    <row r="203" spans="1:15" x14ac:dyDescent="0.2">
      <c r="A203" t="s">
        <v>72</v>
      </c>
      <c r="B203" t="s">
        <v>73</v>
      </c>
      <c r="C203" s="2">
        <v>45778</v>
      </c>
      <c r="D203" s="2">
        <v>46143</v>
      </c>
      <c r="E203" s="3">
        <v>2417361075</v>
      </c>
      <c r="F203">
        <v>15</v>
      </c>
      <c r="G203" s="3">
        <v>107765960</v>
      </c>
      <c r="H203" t="s">
        <v>16</v>
      </c>
      <c r="I203" s="2">
        <v>45931</v>
      </c>
      <c r="N203" s="5"/>
      <c r="O203" s="5"/>
    </row>
    <row r="204" spans="1:15" x14ac:dyDescent="0.2">
      <c r="A204" t="s">
        <v>72</v>
      </c>
      <c r="B204" t="s">
        <v>73</v>
      </c>
      <c r="C204" s="2">
        <v>45778</v>
      </c>
      <c r="D204" s="2">
        <v>46143</v>
      </c>
      <c r="E204" s="3">
        <v>2417361075</v>
      </c>
      <c r="F204">
        <v>16</v>
      </c>
      <c r="G204" s="3">
        <v>11182140</v>
      </c>
      <c r="H204" t="s">
        <v>16</v>
      </c>
      <c r="I204" s="2">
        <v>45943</v>
      </c>
      <c r="N204" s="5"/>
      <c r="O204" s="5"/>
    </row>
    <row r="205" spans="1:15" x14ac:dyDescent="0.2">
      <c r="A205" t="s">
        <v>72</v>
      </c>
      <c r="B205" t="s">
        <v>73</v>
      </c>
      <c r="C205" s="2">
        <v>45778</v>
      </c>
      <c r="D205" s="2">
        <v>46143</v>
      </c>
      <c r="E205" s="3">
        <v>2417361075</v>
      </c>
      <c r="F205">
        <v>17</v>
      </c>
      <c r="G205" s="3">
        <v>154711800</v>
      </c>
      <c r="H205" t="s">
        <v>16</v>
      </c>
      <c r="I205" s="2">
        <v>45943</v>
      </c>
      <c r="N205" s="5"/>
      <c r="O205" s="5"/>
    </row>
    <row r="206" spans="1:15" x14ac:dyDescent="0.2">
      <c r="A206" t="s">
        <v>72</v>
      </c>
      <c r="B206" t="s">
        <v>73</v>
      </c>
      <c r="C206" s="2">
        <v>45778</v>
      </c>
      <c r="D206" s="2">
        <v>46143</v>
      </c>
      <c r="E206" s="3">
        <v>2417361075</v>
      </c>
      <c r="F206">
        <v>18</v>
      </c>
      <c r="G206" s="3">
        <v>159867882</v>
      </c>
      <c r="H206" t="s">
        <v>16</v>
      </c>
      <c r="I206" s="2">
        <v>45954</v>
      </c>
      <c r="N206" s="5"/>
      <c r="O206" s="5"/>
    </row>
    <row r="207" spans="1:15" x14ac:dyDescent="0.2">
      <c r="A207" t="s">
        <v>72</v>
      </c>
      <c r="B207" t="s">
        <v>73</v>
      </c>
      <c r="C207" s="2">
        <v>45778</v>
      </c>
      <c r="D207" s="2">
        <v>46143</v>
      </c>
      <c r="E207" s="3">
        <v>2417361075</v>
      </c>
      <c r="F207">
        <v>19</v>
      </c>
      <c r="G207" s="3">
        <v>36963838</v>
      </c>
      <c r="H207" t="s">
        <v>16</v>
      </c>
      <c r="I207" s="2">
        <v>45975</v>
      </c>
      <c r="N207" s="5"/>
      <c r="O207" s="5"/>
    </row>
    <row r="208" spans="1:15" x14ac:dyDescent="0.2">
      <c r="A208" t="s">
        <v>72</v>
      </c>
      <c r="B208" t="s">
        <v>73</v>
      </c>
      <c r="C208" s="2">
        <v>45778</v>
      </c>
      <c r="D208" s="2">
        <v>46143</v>
      </c>
      <c r="E208" s="3">
        <v>2417361075</v>
      </c>
      <c r="F208">
        <v>20</v>
      </c>
      <c r="G208" s="3">
        <v>33891075</v>
      </c>
      <c r="H208" t="s">
        <v>16</v>
      </c>
      <c r="I208" s="2">
        <v>45975</v>
      </c>
      <c r="N208" s="5"/>
      <c r="O208" s="5"/>
    </row>
    <row r="209" spans="1:15" x14ac:dyDescent="0.2">
      <c r="A209" s="7" t="s">
        <v>9</v>
      </c>
      <c r="B209" t="s">
        <v>74</v>
      </c>
      <c r="C209" s="2">
        <v>45834</v>
      </c>
      <c r="D209" s="2">
        <v>46014</v>
      </c>
      <c r="E209" s="3">
        <v>255300000</v>
      </c>
      <c r="F209">
        <v>1</v>
      </c>
      <c r="G209" s="3">
        <v>76590000</v>
      </c>
      <c r="H209" t="s">
        <v>16</v>
      </c>
      <c r="I209" s="2">
        <v>45833</v>
      </c>
      <c r="N209" s="5"/>
      <c r="O209" s="5"/>
    </row>
    <row r="210" spans="1:15" x14ac:dyDescent="0.2">
      <c r="A210" t="s">
        <v>9</v>
      </c>
      <c r="B210" t="s">
        <v>74</v>
      </c>
      <c r="C210" s="2">
        <v>45834</v>
      </c>
      <c r="D210" s="2">
        <v>46014</v>
      </c>
      <c r="E210" s="3">
        <v>255300000</v>
      </c>
      <c r="F210">
        <v>2</v>
      </c>
      <c r="G210" s="3">
        <v>102120000</v>
      </c>
      <c r="H210" t="s">
        <v>16</v>
      </c>
      <c r="I210" s="2">
        <v>45884</v>
      </c>
      <c r="N210" s="5"/>
      <c r="O210" s="5"/>
    </row>
    <row r="211" spans="1:15" x14ac:dyDescent="0.2">
      <c r="A211" t="s">
        <v>58</v>
      </c>
      <c r="B211" t="s">
        <v>19</v>
      </c>
      <c r="C211" s="2">
        <v>45831</v>
      </c>
      <c r="D211" s="2">
        <v>46014</v>
      </c>
      <c r="E211" s="3">
        <v>679283681</v>
      </c>
      <c r="F211">
        <v>1</v>
      </c>
      <c r="G211" s="3">
        <v>339641840</v>
      </c>
      <c r="H211" t="s">
        <v>16</v>
      </c>
      <c r="I211" s="2">
        <v>45833</v>
      </c>
      <c r="N211" s="5"/>
      <c r="O211" s="5"/>
    </row>
    <row r="212" spans="1:15" ht="14.5" customHeight="1" x14ac:dyDescent="0.2">
      <c r="A212" t="s">
        <v>58</v>
      </c>
      <c r="B212" t="s">
        <v>20</v>
      </c>
      <c r="C212" s="2">
        <v>45831</v>
      </c>
      <c r="D212" s="2">
        <v>46014</v>
      </c>
      <c r="E212" s="3">
        <v>886363750</v>
      </c>
      <c r="F212">
        <v>1</v>
      </c>
      <c r="G212" s="3">
        <v>886363750</v>
      </c>
      <c r="H212" t="s">
        <v>16</v>
      </c>
      <c r="I212" s="2">
        <v>45833</v>
      </c>
      <c r="N212" s="5"/>
      <c r="O212" s="5"/>
    </row>
    <row r="213" spans="1:15" ht="15" customHeight="1" x14ac:dyDescent="0.2">
      <c r="A213" t="s">
        <v>12</v>
      </c>
      <c r="B213" t="s">
        <v>21</v>
      </c>
      <c r="C213" s="2">
        <v>45839</v>
      </c>
      <c r="D213" s="2">
        <v>45901</v>
      </c>
      <c r="E213" s="3">
        <v>700121666</v>
      </c>
      <c r="F213">
        <v>1</v>
      </c>
      <c r="G213" s="3">
        <v>420072989</v>
      </c>
      <c r="H213" t="s">
        <v>16</v>
      </c>
      <c r="I213" s="2">
        <v>45855</v>
      </c>
      <c r="N213" s="5"/>
      <c r="O213" s="5"/>
    </row>
    <row r="214" spans="1:15" x14ac:dyDescent="0.2">
      <c r="A214" t="s">
        <v>10</v>
      </c>
      <c r="B214" t="s">
        <v>75</v>
      </c>
      <c r="C214" s="2">
        <v>45852</v>
      </c>
      <c r="D214" s="2">
        <v>46217</v>
      </c>
      <c r="E214" s="3">
        <f>920000000+(920000000*11%)</f>
        <v>1021200000</v>
      </c>
      <c r="F214">
        <v>1</v>
      </c>
      <c r="G214" s="3">
        <v>204240000</v>
      </c>
      <c r="H214" t="s">
        <v>16</v>
      </c>
      <c r="I214" s="2">
        <v>45855</v>
      </c>
      <c r="N214" s="5"/>
      <c r="O214" s="5"/>
    </row>
    <row r="215" spans="1:15" x14ac:dyDescent="0.2">
      <c r="A215" t="s">
        <v>10</v>
      </c>
      <c r="B215" t="s">
        <v>75</v>
      </c>
      <c r="C215" s="2">
        <v>45852</v>
      </c>
      <c r="D215" s="2">
        <v>46217</v>
      </c>
      <c r="E215" s="3">
        <f>920000000+(920000000*11%)</f>
        <v>1021200000</v>
      </c>
      <c r="F215">
        <v>2</v>
      </c>
      <c r="G215" s="3">
        <v>408480000</v>
      </c>
      <c r="H215" t="s">
        <v>16</v>
      </c>
      <c r="I215" s="2">
        <v>45869</v>
      </c>
      <c r="N215" s="5"/>
      <c r="O215" s="5"/>
    </row>
    <row r="216" spans="1:15" x14ac:dyDescent="0.2">
      <c r="A216" s="7" t="s">
        <v>22</v>
      </c>
      <c r="B216" t="s">
        <v>76</v>
      </c>
      <c r="C216" s="2">
        <v>45845</v>
      </c>
      <c r="D216" s="2">
        <v>45876</v>
      </c>
      <c r="E216" s="3">
        <v>312307300</v>
      </c>
      <c r="F216">
        <v>1</v>
      </c>
      <c r="G216" s="3">
        <v>187384380</v>
      </c>
      <c r="H216" t="s">
        <v>16</v>
      </c>
      <c r="I216" s="2">
        <v>45816</v>
      </c>
      <c r="N216" s="5"/>
      <c r="O216" s="5"/>
    </row>
    <row r="217" spans="1:15" x14ac:dyDescent="0.2">
      <c r="A217" t="s">
        <v>22</v>
      </c>
      <c r="B217" t="s">
        <v>76</v>
      </c>
      <c r="C217" s="2">
        <v>45845</v>
      </c>
      <c r="D217" s="2">
        <v>45876</v>
      </c>
      <c r="E217" s="3">
        <v>312307300</v>
      </c>
      <c r="F217">
        <v>2</v>
      </c>
      <c r="G217" s="3">
        <v>109307555</v>
      </c>
      <c r="H217" t="s">
        <v>16</v>
      </c>
      <c r="I217" s="2">
        <v>45884</v>
      </c>
      <c r="N217" s="5"/>
      <c r="O217" s="5"/>
    </row>
    <row r="218" spans="1:15" ht="14.5" customHeight="1" x14ac:dyDescent="0.2">
      <c r="A218" t="s">
        <v>22</v>
      </c>
      <c r="B218" t="s">
        <v>77</v>
      </c>
      <c r="C218" s="2">
        <v>45901</v>
      </c>
      <c r="D218" s="2">
        <v>46447</v>
      </c>
      <c r="E218" s="3">
        <v>2805299892</v>
      </c>
      <c r="F218">
        <v>1</v>
      </c>
      <c r="G218" s="3">
        <v>1683179940</v>
      </c>
      <c r="H218" t="s">
        <v>16</v>
      </c>
      <c r="I218" s="2">
        <v>45902</v>
      </c>
      <c r="N218" s="5"/>
      <c r="O218" s="5"/>
    </row>
    <row r="219" spans="1:15" ht="15" customHeight="1" x14ac:dyDescent="0.2">
      <c r="A219" t="s">
        <v>22</v>
      </c>
      <c r="B219" t="s">
        <v>78</v>
      </c>
      <c r="C219" s="2">
        <v>45901</v>
      </c>
      <c r="D219" s="2">
        <v>46173</v>
      </c>
      <c r="E219" s="3">
        <f>292151300+(292151300*11%)</f>
        <v>324287943</v>
      </c>
      <c r="F219">
        <v>1</v>
      </c>
      <c r="G219" s="3">
        <v>194572740</v>
      </c>
      <c r="H219" t="s">
        <v>16</v>
      </c>
      <c r="I219" s="2">
        <v>45925</v>
      </c>
      <c r="N219" s="5"/>
      <c r="O219" s="5"/>
    </row>
    <row r="220" spans="1:15" ht="15" hidden="1" customHeight="1" x14ac:dyDescent="0.2">
      <c r="A220" t="s">
        <v>22</v>
      </c>
      <c r="B220" t="s">
        <v>79</v>
      </c>
      <c r="C220" s="2">
        <v>45888</v>
      </c>
      <c r="D220" s="2">
        <v>46100</v>
      </c>
      <c r="E220" s="3">
        <v>1783770000</v>
      </c>
      <c r="G220" s="3"/>
      <c r="H220" t="s">
        <v>80</v>
      </c>
      <c r="I220" s="2"/>
      <c r="N220" s="5"/>
      <c r="O220" s="5"/>
    </row>
    <row r="221" spans="1:15" ht="14.5" customHeight="1" x14ac:dyDescent="0.2">
      <c r="A221" t="s">
        <v>23</v>
      </c>
      <c r="B221" s="4" t="s">
        <v>81</v>
      </c>
      <c r="C221" s="2">
        <v>45883</v>
      </c>
      <c r="D221" s="2">
        <v>46415</v>
      </c>
      <c r="E221" s="3">
        <v>26151971000</v>
      </c>
      <c r="F221">
        <v>1</v>
      </c>
      <c r="G221" s="3">
        <v>4974454100</v>
      </c>
      <c r="H221" t="s">
        <v>16</v>
      </c>
      <c r="I221" s="2">
        <v>45896</v>
      </c>
      <c r="N221" s="5"/>
      <c r="O221" s="5"/>
    </row>
    <row r="222" spans="1:15" ht="15" customHeight="1" x14ac:dyDescent="0.2">
      <c r="A222" t="s">
        <v>23</v>
      </c>
      <c r="B222" t="s">
        <v>81</v>
      </c>
      <c r="C222" s="2">
        <v>45883</v>
      </c>
      <c r="D222" s="2">
        <v>46415</v>
      </c>
      <c r="E222" s="3">
        <v>26151971000</v>
      </c>
      <c r="F222">
        <v>2</v>
      </c>
      <c r="G222" s="3">
        <v>5294379225</v>
      </c>
      <c r="H222" t="s">
        <v>16</v>
      </c>
      <c r="I222" s="2">
        <v>45896</v>
      </c>
      <c r="N222" s="5"/>
      <c r="O222" s="5"/>
    </row>
    <row r="223" spans="1:15" ht="15" customHeight="1" x14ac:dyDescent="0.2">
      <c r="A223" t="s">
        <v>23</v>
      </c>
      <c r="B223" t="s">
        <v>81</v>
      </c>
      <c r="C223" s="2">
        <v>45883</v>
      </c>
      <c r="D223" s="2">
        <v>46415</v>
      </c>
      <c r="E223" s="3">
        <v>26151971000</v>
      </c>
      <c r="F223">
        <v>3</v>
      </c>
      <c r="G223" s="3">
        <v>3970784419</v>
      </c>
      <c r="I223" s="2"/>
      <c r="N223" s="5"/>
      <c r="O223" s="5"/>
    </row>
    <row r="224" spans="1:15" x14ac:dyDescent="0.2">
      <c r="A224" t="s">
        <v>84</v>
      </c>
      <c r="B224" t="s">
        <v>85</v>
      </c>
      <c r="C224" s="2">
        <v>45867</v>
      </c>
      <c r="D224" s="2">
        <v>45959</v>
      </c>
      <c r="E224">
        <v>2425417371</v>
      </c>
      <c r="F224">
        <v>1</v>
      </c>
      <c r="G224" s="3">
        <v>727625211</v>
      </c>
      <c r="H224" t="s">
        <v>16</v>
      </c>
      <c r="I224" s="2">
        <v>45862</v>
      </c>
    </row>
    <row r="225" spans="1:9" x14ac:dyDescent="0.2">
      <c r="A225" t="s">
        <v>22</v>
      </c>
      <c r="B225" t="s">
        <v>86</v>
      </c>
      <c r="C225" s="2">
        <v>45888</v>
      </c>
      <c r="D225" s="2">
        <v>46100</v>
      </c>
      <c r="E225">
        <v>1783770000</v>
      </c>
      <c r="F225">
        <v>1</v>
      </c>
      <c r="G225" s="3">
        <v>1248639000</v>
      </c>
      <c r="H225" t="s">
        <v>16</v>
      </c>
      <c r="I225" s="2">
        <v>45919</v>
      </c>
    </row>
    <row r="226" spans="1:9" x14ac:dyDescent="0.2">
      <c r="A226" t="s">
        <v>9</v>
      </c>
      <c r="B226" t="s">
        <v>87</v>
      </c>
      <c r="C226" s="2">
        <v>45905</v>
      </c>
      <c r="D226" s="2">
        <v>46143</v>
      </c>
      <c r="E226" s="3">
        <v>1919004569</v>
      </c>
      <c r="F226">
        <v>1</v>
      </c>
      <c r="G226" s="3">
        <v>1004595000</v>
      </c>
      <c r="H226" t="s">
        <v>16</v>
      </c>
      <c r="I226" s="2">
        <v>45904</v>
      </c>
    </row>
    <row r="227" spans="1:9" x14ac:dyDescent="0.2">
      <c r="A227" t="s">
        <v>9</v>
      </c>
      <c r="B227" t="s">
        <v>87</v>
      </c>
      <c r="C227" s="2">
        <v>45905</v>
      </c>
      <c r="D227" s="2">
        <v>46143</v>
      </c>
      <c r="E227" s="3">
        <v>1919004569</v>
      </c>
      <c r="F227">
        <v>2</v>
      </c>
      <c r="G227" s="3">
        <v>245537802</v>
      </c>
      <c r="H227" t="s">
        <v>16</v>
      </c>
      <c r="I227" s="2">
        <v>45912</v>
      </c>
    </row>
    <row r="228" spans="1:9" x14ac:dyDescent="0.2">
      <c r="A228" t="s">
        <v>9</v>
      </c>
      <c r="B228" t="s">
        <v>87</v>
      </c>
      <c r="C228" s="2">
        <v>45905</v>
      </c>
      <c r="D228" s="2">
        <v>46143</v>
      </c>
      <c r="E228" s="3">
        <v>1919004569</v>
      </c>
      <c r="F228">
        <v>3</v>
      </c>
      <c r="G228" s="3">
        <v>204614835</v>
      </c>
      <c r="H228" t="s">
        <v>16</v>
      </c>
      <c r="I228" s="2"/>
    </row>
    <row r="229" spans="1:9" x14ac:dyDescent="0.2">
      <c r="A229" t="s">
        <v>58</v>
      </c>
      <c r="B229" t="s">
        <v>88</v>
      </c>
      <c r="C229" s="2">
        <v>45895</v>
      </c>
      <c r="D229" s="2">
        <f t="shared" ref="D229" si="0">C229+F229</f>
        <v>45896</v>
      </c>
      <c r="E229" s="3">
        <v>1862161460</v>
      </c>
      <c r="F229">
        <v>1</v>
      </c>
      <c r="G229" s="3">
        <v>1117296876</v>
      </c>
      <c r="H229" t="s">
        <v>16</v>
      </c>
      <c r="I229" s="2">
        <v>45924</v>
      </c>
    </row>
    <row r="230" spans="1:9" x14ac:dyDescent="0.2">
      <c r="A230" t="s">
        <v>58</v>
      </c>
      <c r="B230" t="s">
        <v>88</v>
      </c>
      <c r="C230" s="2">
        <v>45895</v>
      </c>
      <c r="D230" s="2">
        <f t="shared" ref="D230" si="1">C230+F230</f>
        <v>45897</v>
      </c>
      <c r="E230" s="3">
        <v>1862161460</v>
      </c>
      <c r="F230">
        <v>2</v>
      </c>
      <c r="G230" s="3">
        <v>279324219</v>
      </c>
      <c r="H230" t="s">
        <v>16</v>
      </c>
      <c r="I230" s="2">
        <v>45957</v>
      </c>
    </row>
    <row r="231" spans="1:9" x14ac:dyDescent="0.2">
      <c r="A231" t="s">
        <v>9</v>
      </c>
      <c r="B231" t="s">
        <v>89</v>
      </c>
      <c r="C231" s="2">
        <v>45923</v>
      </c>
      <c r="D231" s="2">
        <v>46084</v>
      </c>
      <c r="E231" s="3">
        <v>223217572.31999999</v>
      </c>
      <c r="F231">
        <v>1</v>
      </c>
      <c r="G231" s="3">
        <v>89287029</v>
      </c>
      <c r="H231" t="s">
        <v>16</v>
      </c>
      <c r="I231" s="2">
        <v>45925</v>
      </c>
    </row>
    <row r="232" spans="1:9" hidden="1" x14ac:dyDescent="0.2">
      <c r="A232" t="s">
        <v>9</v>
      </c>
      <c r="B232" t="s">
        <v>90</v>
      </c>
      <c r="C232" s="2">
        <v>45905</v>
      </c>
      <c r="D232" s="2">
        <v>46143</v>
      </c>
      <c r="E232" s="3">
        <v>285800380</v>
      </c>
      <c r="F232">
        <v>1</v>
      </c>
      <c r="H232" t="s">
        <v>80</v>
      </c>
    </row>
    <row r="233" spans="1:9" x14ac:dyDescent="0.2">
      <c r="A233" t="s">
        <v>9</v>
      </c>
      <c r="B233" t="s">
        <v>91</v>
      </c>
      <c r="C233" s="2">
        <v>45905</v>
      </c>
      <c r="D233" s="2">
        <v>46058</v>
      </c>
      <c r="E233" s="3">
        <v>479987896</v>
      </c>
      <c r="F233">
        <v>1</v>
      </c>
      <c r="G233">
        <v>77198636.310000002</v>
      </c>
      <c r="H233" t="s">
        <v>16</v>
      </c>
    </row>
    <row r="234" spans="1:9" x14ac:dyDescent="0.2">
      <c r="A234" t="s">
        <v>9</v>
      </c>
      <c r="B234" t="s">
        <v>91</v>
      </c>
      <c r="C234" s="2">
        <v>45905</v>
      </c>
      <c r="D234" s="2">
        <v>46058</v>
      </c>
      <c r="E234" s="3">
        <v>479987896</v>
      </c>
      <c r="F234">
        <v>2</v>
      </c>
      <c r="G234" s="3">
        <v>161107704</v>
      </c>
      <c r="H234" t="s">
        <v>16</v>
      </c>
      <c r="I234" s="2">
        <v>45912</v>
      </c>
    </row>
    <row r="235" spans="1:9" x14ac:dyDescent="0.2">
      <c r="A235" t="s">
        <v>93</v>
      </c>
      <c r="B235" t="s">
        <v>94</v>
      </c>
      <c r="C235" s="2">
        <v>45953</v>
      </c>
      <c r="D235" s="2">
        <v>46446</v>
      </c>
      <c r="E235">
        <v>76951511653</v>
      </c>
      <c r="F235">
        <v>1</v>
      </c>
      <c r="G235" s="3">
        <v>2904772500</v>
      </c>
      <c r="H235" t="s">
        <v>16</v>
      </c>
    </row>
    <row r="236" spans="1:9" x14ac:dyDescent="0.2">
      <c r="A236" t="s">
        <v>93</v>
      </c>
      <c r="B236" t="s">
        <v>94</v>
      </c>
      <c r="C236" s="2">
        <v>45953</v>
      </c>
      <c r="D236" s="2">
        <v>46446</v>
      </c>
      <c r="E236">
        <v>76951511653</v>
      </c>
      <c r="F236">
        <v>2</v>
      </c>
      <c r="G236" s="3">
        <v>4790378665</v>
      </c>
      <c r="H236" t="s">
        <v>16</v>
      </c>
    </row>
    <row r="237" spans="1:9" x14ac:dyDescent="0.2">
      <c r="A237" t="s">
        <v>93</v>
      </c>
      <c r="B237" t="s">
        <v>94</v>
      </c>
      <c r="C237" s="2">
        <v>45953</v>
      </c>
      <c r="D237" s="2">
        <v>46446</v>
      </c>
      <c r="E237">
        <v>76951511653</v>
      </c>
      <c r="F237">
        <v>3</v>
      </c>
      <c r="G237" s="3">
        <v>7695151165</v>
      </c>
      <c r="H237" t="s">
        <v>16</v>
      </c>
    </row>
    <row r="238" spans="1:9" x14ac:dyDescent="0.2">
      <c r="A238" t="s">
        <v>95</v>
      </c>
      <c r="B238" t="s">
        <v>96</v>
      </c>
      <c r="C238" s="2">
        <v>45923</v>
      </c>
      <c r="D238" s="2">
        <v>46468</v>
      </c>
      <c r="E238">
        <v>6328302500</v>
      </c>
      <c r="F238">
        <v>1</v>
      </c>
      <c r="G238" s="5">
        <v>1265660500</v>
      </c>
      <c r="H238" t="s">
        <v>16</v>
      </c>
    </row>
    <row r="239" spans="1:9" x14ac:dyDescent="0.2">
      <c r="A239" t="s">
        <v>95</v>
      </c>
      <c r="B239" t="s">
        <v>96</v>
      </c>
      <c r="C239" s="2">
        <v>45923</v>
      </c>
      <c r="D239" s="2">
        <v>46468</v>
      </c>
      <c r="E239">
        <v>6328302500</v>
      </c>
      <c r="F239">
        <v>2</v>
      </c>
      <c r="G239" s="5">
        <f>97802850+925162</f>
        <v>98728012</v>
      </c>
      <c r="H239" t="s">
        <v>16</v>
      </c>
    </row>
  </sheetData>
  <autoFilter ref="A1:I239" xr:uid="{00000000-0001-0000-0000-000000000000}">
    <filterColumn colId="7">
      <filters>
        <filter val="Paid"/>
      </filters>
    </filterColumn>
  </autoFilter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6A7C2-229B-47D6-BC00-82327B40AEDD}">
  <dimension ref="A1:A8"/>
  <sheetViews>
    <sheetView workbookViewId="0">
      <selection sqref="A1:A1048576"/>
    </sheetView>
  </sheetViews>
  <sheetFormatPr baseColWidth="10" defaultColWidth="8.83203125" defaultRowHeight="15" x14ac:dyDescent="0.2"/>
  <cols>
    <col min="1" max="1" width="24.1640625" customWidth="1"/>
  </cols>
  <sheetData>
    <row r="1" spans="1:1" x14ac:dyDescent="0.2">
      <c r="A1">
        <v>84904</v>
      </c>
    </row>
    <row r="2" spans="1:1" x14ac:dyDescent="0.2">
      <c r="A2">
        <v>51512</v>
      </c>
    </row>
    <row r="3" spans="1:1" x14ac:dyDescent="0.2">
      <c r="A3">
        <v>49667</v>
      </c>
    </row>
    <row r="4" spans="1:1" x14ac:dyDescent="0.2">
      <c r="A4">
        <f>SUM(A1:A3)</f>
        <v>186083</v>
      </c>
    </row>
    <row r="6" spans="1:1" x14ac:dyDescent="0.2">
      <c r="A6" s="3">
        <v>122202733732</v>
      </c>
    </row>
    <row r="7" spans="1:1" x14ac:dyDescent="0.2">
      <c r="A7" s="5">
        <v>126971710115</v>
      </c>
    </row>
    <row r="8" spans="1:1" x14ac:dyDescent="0.2">
      <c r="A8" s="6">
        <f>A7-A6</f>
        <v>4768976383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Inca Nusa Aquaculture</dc:creator>
  <cp:lastModifiedBy>GIFARI ALGHANI</cp:lastModifiedBy>
  <dcterms:created xsi:type="dcterms:W3CDTF">2025-06-03T07:02:14Z</dcterms:created>
  <dcterms:modified xsi:type="dcterms:W3CDTF">2025-12-11T10:13:50Z</dcterms:modified>
</cp:coreProperties>
</file>